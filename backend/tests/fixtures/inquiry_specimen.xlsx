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or\Downloads\"/>
    </mc:Choice>
  </mc:AlternateContent>
  <xr:revisionPtr revIDLastSave="0" documentId="13_ncr:1_{F4BC155C-CD39-4AB7-82CF-B067063A4CE3}" xr6:coauthVersionLast="47" xr6:coauthVersionMax="47" xr10:uidLastSave="{00000000-0000-0000-0000-000000000000}"/>
  <bookViews>
    <workbookView xWindow="-110" yWindow="-110" windowWidth="32220" windowHeight="19500" xr2:uid="{00000000-000D-0000-FFFF-FFFF00000000}"/>
  </bookViews>
  <sheets>
    <sheet name="hárok" sheetId="33" r:id="rId1"/>
  </sheets>
  <definedNames>
    <definedName name="_xlnm.Print_Titles" localSheetId="0">hárok!$9:$12</definedName>
    <definedName name="_xlnm.Print_Area" localSheetId="0">hárok!$A$1:$R$136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3" l="1"/>
  <c r="J13" i="33"/>
  <c r="K13" i="33" s="1"/>
  <c r="N60" i="33"/>
  <c r="N117" i="33"/>
  <c r="N122" i="33"/>
  <c r="N127" i="33"/>
  <c r="L132" i="33"/>
  <c r="M132" i="33" s="1"/>
  <c r="N132" i="33" s="1"/>
  <c r="M14" i="33"/>
  <c r="M15" i="33"/>
  <c r="N15" i="33" s="1"/>
  <c r="M17" i="33"/>
  <c r="N17" i="33" s="1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2" i="33"/>
  <c r="M43" i="33"/>
  <c r="N43" i="33" s="1"/>
  <c r="M45" i="33"/>
  <c r="N45" i="33" s="1"/>
  <c r="M56" i="33"/>
  <c r="N56" i="33" s="1"/>
  <c r="M58" i="33"/>
  <c r="M60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6" i="33"/>
  <c r="N76" i="33" s="1"/>
  <c r="M83" i="33"/>
  <c r="M85" i="33"/>
  <c r="M86" i="33"/>
  <c r="M87" i="33"/>
  <c r="M88" i="33"/>
  <c r="M89" i="33"/>
  <c r="M91" i="33"/>
  <c r="M92" i="33"/>
  <c r="M93" i="33"/>
  <c r="M94" i="33"/>
  <c r="M95" i="33"/>
  <c r="M97" i="33"/>
  <c r="M98" i="33"/>
  <c r="M99" i="33"/>
  <c r="N99" i="33" s="1"/>
  <c r="M100" i="33"/>
  <c r="M101" i="33"/>
  <c r="N101" i="33" s="1"/>
  <c r="M102" i="33"/>
  <c r="M104" i="33"/>
  <c r="M105" i="33"/>
  <c r="M106" i="33"/>
  <c r="M108" i="33"/>
  <c r="N108" i="33" s="1"/>
  <c r="M110" i="33"/>
  <c r="N110" i="33" s="1"/>
  <c r="M112" i="33"/>
  <c r="N112" i="33" s="1"/>
  <c r="M113" i="33"/>
  <c r="N113" i="33" s="1"/>
  <c r="M117" i="33"/>
  <c r="M119" i="33"/>
  <c r="M121" i="33"/>
  <c r="M122" i="33"/>
  <c r="M123" i="33"/>
  <c r="M125" i="33"/>
  <c r="M126" i="33"/>
  <c r="M127" i="33"/>
  <c r="M129" i="33"/>
  <c r="M130" i="33"/>
  <c r="M131" i="33"/>
  <c r="L14" i="33"/>
  <c r="L15" i="33"/>
  <c r="L16" i="33"/>
  <c r="M16" i="33" s="1"/>
  <c r="N16" i="33" s="1"/>
  <c r="L17" i="33"/>
  <c r="L18" i="33"/>
  <c r="M18" i="33" s="1"/>
  <c r="N18" i="33" s="1"/>
  <c r="L19" i="33"/>
  <c r="M19" i="33" s="1"/>
  <c r="L20" i="33"/>
  <c r="M20" i="33" s="1"/>
  <c r="L21" i="33"/>
  <c r="N21" i="33" s="1"/>
  <c r="L22" i="33"/>
  <c r="N22" i="33" s="1"/>
  <c r="L23" i="33"/>
  <c r="N23" i="33" s="1"/>
  <c r="L24" i="33"/>
  <c r="N24" i="33" s="1"/>
  <c r="L25" i="33"/>
  <c r="N25" i="33" s="1"/>
  <c r="L26" i="33"/>
  <c r="N26" i="33" s="1"/>
  <c r="L27" i="33"/>
  <c r="N27" i="33" s="1"/>
  <c r="L28" i="33"/>
  <c r="N28" i="33" s="1"/>
  <c r="L29" i="33"/>
  <c r="N29" i="33" s="1"/>
  <c r="L30" i="33"/>
  <c r="N30" i="33" s="1"/>
  <c r="L31" i="33"/>
  <c r="N31" i="33" s="1"/>
  <c r="L32" i="33"/>
  <c r="N32" i="33" s="1"/>
  <c r="L33" i="33"/>
  <c r="N33" i="33" s="1"/>
  <c r="L34" i="33"/>
  <c r="N34" i="33" s="1"/>
  <c r="L35" i="33"/>
  <c r="N35" i="33" s="1"/>
  <c r="L36" i="33"/>
  <c r="N36" i="33" s="1"/>
  <c r="L37" i="33"/>
  <c r="N37" i="33" s="1"/>
  <c r="L38" i="33"/>
  <c r="N38" i="33" s="1"/>
  <c r="L39" i="33"/>
  <c r="N39" i="33" s="1"/>
  <c r="L40" i="33"/>
  <c r="N40" i="33" s="1"/>
  <c r="L41" i="33"/>
  <c r="M41" i="33" s="1"/>
  <c r="L42" i="33"/>
  <c r="N42" i="33" s="1"/>
  <c r="L43" i="33"/>
  <c r="L44" i="33"/>
  <c r="M44" i="33" s="1"/>
  <c r="N44" i="33" s="1"/>
  <c r="L45" i="33"/>
  <c r="L46" i="33"/>
  <c r="M46" i="33" s="1"/>
  <c r="N46" i="33" s="1"/>
  <c r="L47" i="33"/>
  <c r="M47" i="33" s="1"/>
  <c r="N47" i="33" s="1"/>
  <c r="L48" i="33"/>
  <c r="M48" i="33" s="1"/>
  <c r="N48" i="33" s="1"/>
  <c r="L49" i="33"/>
  <c r="M49" i="33" s="1"/>
  <c r="N49" i="33" s="1"/>
  <c r="L50" i="33"/>
  <c r="M50" i="33" s="1"/>
  <c r="N50" i="33" s="1"/>
  <c r="L51" i="33"/>
  <c r="M51" i="33" s="1"/>
  <c r="L52" i="33"/>
  <c r="M52" i="33" s="1"/>
  <c r="L53" i="33"/>
  <c r="L54" i="33"/>
  <c r="M54" i="33" s="1"/>
  <c r="L55" i="33"/>
  <c r="M55" i="33" s="1"/>
  <c r="L56" i="33"/>
  <c r="L57" i="33"/>
  <c r="M57" i="33" s="1"/>
  <c r="L58" i="33"/>
  <c r="N58" i="33" s="1"/>
  <c r="L59" i="33"/>
  <c r="M59" i="33" s="1"/>
  <c r="L60" i="33"/>
  <c r="L61" i="33"/>
  <c r="M61" i="33" s="1"/>
  <c r="L62" i="33"/>
  <c r="N62" i="33" s="1"/>
  <c r="L63" i="33"/>
  <c r="N63" i="33" s="1"/>
  <c r="L64" i="33"/>
  <c r="N64" i="33" s="1"/>
  <c r="L65" i="33"/>
  <c r="N65" i="33" s="1"/>
  <c r="L66" i="33"/>
  <c r="N66" i="33" s="1"/>
  <c r="L67" i="33"/>
  <c r="N67" i="33" s="1"/>
  <c r="L68" i="33"/>
  <c r="N68" i="33" s="1"/>
  <c r="L69" i="33"/>
  <c r="N69" i="33" s="1"/>
  <c r="L70" i="33"/>
  <c r="N70" i="33" s="1"/>
  <c r="L71" i="33"/>
  <c r="N71" i="33" s="1"/>
  <c r="L72" i="33"/>
  <c r="N72" i="33" s="1"/>
  <c r="L73" i="33"/>
  <c r="N73" i="33" s="1"/>
  <c r="L74" i="33"/>
  <c r="N74" i="33" s="1"/>
  <c r="L75" i="33"/>
  <c r="M75" i="33" s="1"/>
  <c r="N75" i="33" s="1"/>
  <c r="L76" i="33"/>
  <c r="L77" i="33"/>
  <c r="M77" i="33" s="1"/>
  <c r="N77" i="33" s="1"/>
  <c r="L78" i="33"/>
  <c r="M78" i="33" s="1"/>
  <c r="N78" i="33" s="1"/>
  <c r="L79" i="33"/>
  <c r="M79" i="33" s="1"/>
  <c r="N79" i="33" s="1"/>
  <c r="L80" i="33"/>
  <c r="M80" i="33" s="1"/>
  <c r="N80" i="33" s="1"/>
  <c r="L81" i="33"/>
  <c r="M81" i="33" s="1"/>
  <c r="N81" i="33" s="1"/>
  <c r="L82" i="33"/>
  <c r="M82" i="33" s="1"/>
  <c r="N82" i="33" s="1"/>
  <c r="L83" i="33"/>
  <c r="N83" i="33" s="1"/>
  <c r="L84" i="33"/>
  <c r="M84" i="33" s="1"/>
  <c r="L85" i="33"/>
  <c r="N85" i="33" s="1"/>
  <c r="L86" i="33"/>
  <c r="N86" i="33" s="1"/>
  <c r="L87" i="33"/>
  <c r="N87" i="33" s="1"/>
  <c r="L88" i="33"/>
  <c r="N88" i="33" s="1"/>
  <c r="L89" i="33"/>
  <c r="N89" i="33" s="1"/>
  <c r="L90" i="33"/>
  <c r="M90" i="33" s="1"/>
  <c r="N90" i="33" s="1"/>
  <c r="L91" i="33"/>
  <c r="N91" i="33" s="1"/>
  <c r="L92" i="33"/>
  <c r="N92" i="33" s="1"/>
  <c r="L93" i="33"/>
  <c r="N93" i="33" s="1"/>
  <c r="L94" i="33"/>
  <c r="N94" i="33" s="1"/>
  <c r="L95" i="33"/>
  <c r="N95" i="33" s="1"/>
  <c r="L96" i="33"/>
  <c r="M96" i="33" s="1"/>
  <c r="L97" i="33"/>
  <c r="N97" i="33" s="1"/>
  <c r="L98" i="33"/>
  <c r="N98" i="33" s="1"/>
  <c r="L99" i="33"/>
  <c r="L100" i="33"/>
  <c r="N100" i="33" s="1"/>
  <c r="L101" i="33"/>
  <c r="L102" i="33"/>
  <c r="N102" i="33" s="1"/>
  <c r="L103" i="33"/>
  <c r="M103" i="33" s="1"/>
  <c r="L104" i="33"/>
  <c r="L105" i="33"/>
  <c r="N105" i="33" s="1"/>
  <c r="L106" i="33"/>
  <c r="N106" i="33" s="1"/>
  <c r="L107" i="33"/>
  <c r="M107" i="33" s="1"/>
  <c r="N107" i="33" s="1"/>
  <c r="L108" i="33"/>
  <c r="L109" i="33"/>
  <c r="M109" i="33" s="1"/>
  <c r="N109" i="33" s="1"/>
  <c r="L110" i="33"/>
  <c r="L111" i="33"/>
  <c r="M111" i="33" s="1"/>
  <c r="N111" i="33" s="1"/>
  <c r="L112" i="33"/>
  <c r="L113" i="33"/>
  <c r="L114" i="33"/>
  <c r="M114" i="33" s="1"/>
  <c r="N114" i="33" s="1"/>
  <c r="L115" i="33"/>
  <c r="L116" i="33"/>
  <c r="L117" i="33"/>
  <c r="L118" i="33"/>
  <c r="M118" i="33" s="1"/>
  <c r="L119" i="33"/>
  <c r="N119" i="33" s="1"/>
  <c r="L120" i="33"/>
  <c r="M120" i="33" s="1"/>
  <c r="L121" i="33"/>
  <c r="N121" i="33" s="1"/>
  <c r="L122" i="33"/>
  <c r="L123" i="33"/>
  <c r="N123" i="33" s="1"/>
  <c r="L124" i="33"/>
  <c r="M124" i="33" s="1"/>
  <c r="L125" i="33"/>
  <c r="N125" i="33" s="1"/>
  <c r="L126" i="33"/>
  <c r="N126" i="33" s="1"/>
  <c r="L127" i="33"/>
  <c r="L128" i="33"/>
  <c r="M128" i="33" s="1"/>
  <c r="L129" i="33"/>
  <c r="N129" i="33" s="1"/>
  <c r="L130" i="33"/>
  <c r="N130" i="33" s="1"/>
  <c r="L131" i="33"/>
  <c r="N131" i="33" s="1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53" i="33"/>
  <c r="K64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7" i="33"/>
  <c r="K98" i="33"/>
  <c r="K100" i="33"/>
  <c r="K102" i="33"/>
  <c r="K103" i="33"/>
  <c r="K114" i="33"/>
  <c r="K115" i="33"/>
  <c r="K117" i="33"/>
  <c r="K122" i="33"/>
  <c r="K127" i="33"/>
  <c r="K131" i="33"/>
  <c r="J14" i="33"/>
  <c r="K14" i="33" s="1"/>
  <c r="J15" i="33"/>
  <c r="K15" i="33" s="1"/>
  <c r="J16" i="33"/>
  <c r="K16" i="33" s="1"/>
  <c r="J17" i="33"/>
  <c r="K17" i="33" s="1"/>
  <c r="J18" i="33"/>
  <c r="K18" i="33" s="1"/>
  <c r="J19" i="33"/>
  <c r="K19" i="33" s="1"/>
  <c r="J20" i="33"/>
  <c r="K20" i="33" s="1"/>
  <c r="J21" i="33"/>
  <c r="K21" i="33" s="1"/>
  <c r="J22" i="33"/>
  <c r="K22" i="33" s="1"/>
  <c r="J23" i="33"/>
  <c r="K23" i="33" s="1"/>
  <c r="J24" i="33"/>
  <c r="K24" i="33" s="1"/>
  <c r="J25" i="33"/>
  <c r="K25" i="33" s="1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K40" i="33" s="1"/>
  <c r="J41" i="33"/>
  <c r="K41" i="33" s="1"/>
  <c r="J42" i="33"/>
  <c r="K42" i="33" s="1"/>
  <c r="J43" i="33"/>
  <c r="K43" i="33" s="1"/>
  <c r="J44" i="33"/>
  <c r="K44" i="33" s="1"/>
  <c r="J45" i="33"/>
  <c r="K45" i="33" s="1"/>
  <c r="J46" i="33"/>
  <c r="K46" i="33" s="1"/>
  <c r="J47" i="33"/>
  <c r="K47" i="33" s="1"/>
  <c r="J48" i="33"/>
  <c r="K48" i="33" s="1"/>
  <c r="J49" i="33"/>
  <c r="K49" i="33" s="1"/>
  <c r="J50" i="33"/>
  <c r="K50" i="33" s="1"/>
  <c r="J51" i="33"/>
  <c r="K51" i="33" s="1"/>
  <c r="J52" i="33"/>
  <c r="K52" i="33" s="1"/>
  <c r="J53" i="33"/>
  <c r="J54" i="33"/>
  <c r="K54" i="33" s="1"/>
  <c r="J55" i="33"/>
  <c r="K55" i="33" s="1"/>
  <c r="J56" i="33"/>
  <c r="K56" i="33" s="1"/>
  <c r="J57" i="33"/>
  <c r="K57" i="33" s="1"/>
  <c r="J58" i="33"/>
  <c r="K58" i="33" s="1"/>
  <c r="J59" i="33"/>
  <c r="K59" i="33" s="1"/>
  <c r="J60" i="33"/>
  <c r="K60" i="33" s="1"/>
  <c r="J61" i="33"/>
  <c r="K61" i="33" s="1"/>
  <c r="J62" i="33"/>
  <c r="K62" i="33" s="1"/>
  <c r="J63" i="33"/>
  <c r="K63" i="33" s="1"/>
  <c r="J64" i="33"/>
  <c r="J65" i="33"/>
  <c r="K65" i="33" s="1"/>
  <c r="J66" i="33"/>
  <c r="K66" i="33" s="1"/>
  <c r="J67" i="33"/>
  <c r="K67" i="33" s="1"/>
  <c r="J68" i="33"/>
  <c r="K68" i="33" s="1"/>
  <c r="J69" i="33"/>
  <c r="K69" i="33" s="1"/>
  <c r="J70" i="33"/>
  <c r="K70" i="33" s="1"/>
  <c r="J71" i="33"/>
  <c r="K71" i="33" s="1"/>
  <c r="J72" i="33"/>
  <c r="K72" i="33" s="1"/>
  <c r="J73" i="33"/>
  <c r="K73" i="33" s="1"/>
  <c r="J74" i="33"/>
  <c r="K74" i="33" s="1"/>
  <c r="J75" i="33"/>
  <c r="K75" i="33" s="1"/>
  <c r="J76" i="33"/>
  <c r="K76" i="33" s="1"/>
  <c r="J77" i="33"/>
  <c r="K77" i="33" s="1"/>
  <c r="J78" i="33"/>
  <c r="K78" i="33" s="1"/>
  <c r="J79" i="33"/>
  <c r="K79" i="33" s="1"/>
  <c r="J80" i="33"/>
  <c r="K80" i="33" s="1"/>
  <c r="J81" i="33"/>
  <c r="K81" i="33" s="1"/>
  <c r="J82" i="33"/>
  <c r="J83" i="33"/>
  <c r="J84" i="33"/>
  <c r="J85" i="33"/>
  <c r="J86" i="33"/>
  <c r="J87" i="33"/>
  <c r="J88" i="33"/>
  <c r="J89" i="33"/>
  <c r="J90" i="33"/>
  <c r="J91" i="33"/>
  <c r="J92" i="33"/>
  <c r="J93" i="33"/>
  <c r="J94" i="33"/>
  <c r="J95" i="33"/>
  <c r="J96" i="33"/>
  <c r="K96" i="33" s="1"/>
  <c r="J97" i="33"/>
  <c r="J98" i="33"/>
  <c r="J99" i="33"/>
  <c r="K99" i="33" s="1"/>
  <c r="J100" i="33"/>
  <c r="J101" i="33"/>
  <c r="K101" i="33" s="1"/>
  <c r="J102" i="33"/>
  <c r="J103" i="33"/>
  <c r="J104" i="33"/>
  <c r="K104" i="33" s="1"/>
  <c r="J105" i="33"/>
  <c r="K105" i="33" s="1"/>
  <c r="J106" i="33"/>
  <c r="K106" i="33" s="1"/>
  <c r="J107" i="33"/>
  <c r="K107" i="33" s="1"/>
  <c r="J108" i="33"/>
  <c r="K108" i="33" s="1"/>
  <c r="J109" i="33"/>
  <c r="K109" i="33" s="1"/>
  <c r="J110" i="33"/>
  <c r="K110" i="33" s="1"/>
  <c r="J111" i="33"/>
  <c r="K111" i="33" s="1"/>
  <c r="J112" i="33"/>
  <c r="K112" i="33" s="1"/>
  <c r="J113" i="33"/>
  <c r="K113" i="33" s="1"/>
  <c r="J114" i="33"/>
  <c r="J115" i="33"/>
  <c r="J116" i="33"/>
  <c r="K116" i="33" s="1"/>
  <c r="J117" i="33"/>
  <c r="J118" i="33"/>
  <c r="K118" i="33" s="1"/>
  <c r="J119" i="33"/>
  <c r="K119" i="33" s="1"/>
  <c r="J120" i="33"/>
  <c r="K120" i="33" s="1"/>
  <c r="J121" i="33"/>
  <c r="K121" i="33" s="1"/>
  <c r="J122" i="33"/>
  <c r="J123" i="33"/>
  <c r="K123" i="33" s="1"/>
  <c r="J124" i="33"/>
  <c r="K124" i="33" s="1"/>
  <c r="J125" i="33"/>
  <c r="K125" i="33" s="1"/>
  <c r="J126" i="33"/>
  <c r="K126" i="33" s="1"/>
  <c r="J127" i="33"/>
  <c r="J128" i="33"/>
  <c r="K128" i="33" s="1"/>
  <c r="J129" i="33"/>
  <c r="K129" i="33" s="1"/>
  <c r="J130" i="33"/>
  <c r="K130" i="33" s="1"/>
  <c r="J131" i="33"/>
  <c r="J132" i="33"/>
  <c r="K132" i="33" s="1"/>
  <c r="N41" i="33" l="1"/>
  <c r="N96" i="33"/>
  <c r="N128" i="33"/>
  <c r="N124" i="33"/>
  <c r="N120" i="33"/>
  <c r="N118" i="33"/>
  <c r="M116" i="33"/>
  <c r="N116" i="33" s="1"/>
  <c r="M115" i="33"/>
  <c r="N115" i="33" s="1"/>
  <c r="N104" i="33"/>
  <c r="N103" i="33"/>
  <c r="N84" i="33"/>
  <c r="N61" i="33"/>
  <c r="N59" i="33"/>
  <c r="N57" i="33"/>
  <c r="N55" i="33"/>
  <c r="N54" i="33"/>
  <c r="M53" i="33"/>
  <c r="N53" i="33" s="1"/>
  <c r="N52" i="33"/>
  <c r="N51" i="33"/>
  <c r="N20" i="33"/>
  <c r="N19" i="33"/>
  <c r="N14" i="33"/>
  <c r="M13" i="33"/>
  <c r="L134" i="33"/>
  <c r="M134" i="33" l="1"/>
  <c r="N13" i="33"/>
  <c r="N134" i="33" s="1"/>
</calcChain>
</file>

<file path=xl/sharedStrings.xml><?xml version="1.0" encoding="utf-8"?>
<sst xmlns="http://schemas.openxmlformats.org/spreadsheetml/2006/main" count="311" uniqueCount="182">
  <si>
    <t xml:space="preserve">Merná 
jednotka (MJ) </t>
  </si>
  <si>
    <t>Uchádzač/predávajúci: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</si>
  <si>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</si>
  <si>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</si>
  <si>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</si>
  <si>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</si>
  <si>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</si>
  <si>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</si>
  <si>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</si>
  <si>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</si>
  <si>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</si>
  <si>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</si>
  <si>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</si>
  <si>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</si>
  <si>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</si>
  <si>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Cena za MJ</t>
  </si>
  <si>
    <t>bez DPH (EUR)</t>
  </si>
  <si>
    <t>DPH (EUR)</t>
  </si>
  <si>
    <t>s DPH (EUR)</t>
  </si>
  <si>
    <t>H/100 x I</t>
  </si>
  <si>
    <t>F x H</t>
  </si>
  <si>
    <t>L/100 x I</t>
  </si>
  <si>
    <t>L + M</t>
  </si>
  <si>
    <t>H + J</t>
  </si>
  <si>
    <t>Názov položky</t>
  </si>
  <si>
    <t>podpis:</t>
  </si>
  <si>
    <t xml:space="preserve">Sadzba DPH (%) * </t>
  </si>
  <si>
    <t xml:space="preserve">P. č. </t>
  </si>
  <si>
    <t xml:space="preserve">Verejný obstarávateľ/kupujúci: </t>
  </si>
  <si>
    <t>Univerzita Pavla Jozefa Šafárika v Košiciach</t>
  </si>
  <si>
    <t xml:space="preserve">Predmet zákazky/zmluvy: </t>
  </si>
  <si>
    <r>
      <rPr>
        <b/>
        <sz val="8"/>
        <color theme="9" tint="-0.249977111117893"/>
        <rFont val="Arial"/>
        <family val="2"/>
        <charset val="238"/>
      </rPr>
      <t xml:space="preserve">* </t>
    </r>
    <r>
      <rPr>
        <sz val="8"/>
        <rFont val="Arial"/>
        <family val="2"/>
        <charset val="238"/>
      </rPr>
      <t>Ak uchádzač nie je platcom DPH, uvedie sadzbu DPH v % 0. 
Na skutočnosť, že nie je platcom DPH, uchádzač upozorní.
Ak uchádzač je platcom DPH, uvedie príslušnú sadzbu DPH.</t>
    </r>
  </si>
  <si>
    <t>Cena predmetu zákazky/zmluvy</t>
  </si>
  <si>
    <t xml:space="preserve">názov / katalóg. číslo / opis 
/ link na web produktu </t>
  </si>
  <si>
    <r>
      <rPr>
        <b/>
        <sz val="10"/>
        <color theme="1"/>
        <rFont val="Arial"/>
        <family val="2"/>
        <charset val="238"/>
      </rPr>
      <t>Za uchádzača/predávajúceho</t>
    </r>
    <r>
      <rPr>
        <sz val="10"/>
        <color theme="1"/>
        <rFont val="Arial"/>
        <family val="2"/>
        <charset val="238"/>
      </rPr>
      <t xml:space="preserve">
V .......................................... dňa .............................</t>
    </r>
  </si>
  <si>
    <t>.................................................... 
meno, priezvisko, titul, funkcia, 
podpis a pečiatka oprávnenej osoby (osôb)</t>
  </si>
  <si>
    <t>Ponuka</t>
  </si>
  <si>
    <t>celková cena 
za predmet zákazky 
v EUR s DPH</t>
  </si>
  <si>
    <r>
      <rPr>
        <b/>
        <sz val="12"/>
        <color theme="1"/>
        <rFont val="Arial"/>
        <family val="2"/>
        <charset val="238"/>
      </rPr>
      <t>SOM - NIE SOM</t>
    </r>
    <r>
      <rPr>
        <sz val="12"/>
        <color theme="1"/>
        <rFont val="Arial"/>
        <family val="2"/>
        <charset val="238"/>
      </rPr>
      <t xml:space="preserve"> Platca DPH (nehodiace sa preškrtnúť)</t>
    </r>
  </si>
  <si>
    <t xml:space="preserve">Požadované množstvo MJ </t>
  </si>
  <si>
    <t>Cena za požadované množstvo MJ</t>
  </si>
  <si>
    <t xml:space="preserve">Príloha č. 1 výzvy - Špecifikácia a cena </t>
  </si>
  <si>
    <t>Plán obnovy a odolnosti, Veľké projekty pre excelentných výskumníkov
Multimodálny prístup pri štúdiu korelácii medzi štruktúrou a vlastnosťami progresívnych materiálov
09I03-03-V03-00034</t>
  </si>
  <si>
    <t>ks</t>
  </si>
  <si>
    <t>D</t>
  </si>
  <si>
    <t xml:space="preserve"> </t>
  </si>
  <si>
    <t>Spojovací materiál</t>
  </si>
  <si>
    <t>1.</t>
  </si>
  <si>
    <t>Šesťhranná matica DIN 934 Oceľ Pozinkované M3</t>
  </si>
  <si>
    <t>Šesťhranná matica DIN 934 Oceľ Pozinkované M4</t>
  </si>
  <si>
    <t>Šesťhranná matica DIN 934 Oceľ Pozinkované M5</t>
  </si>
  <si>
    <t>Šesťhranná matica DIN 934 Oceľ Pozinkované M6</t>
  </si>
  <si>
    <t>Šesťhranná matica DIN 934 Oceľ Pozinkované M8</t>
  </si>
  <si>
    <t>Šesťhranná matica DIN 934 Oceľ Pozinkované M10</t>
  </si>
  <si>
    <t>Šesťhranná matica DIN 934 Oceľ Pozinkované M12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</si>
  <si>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</si>
  <si>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</si>
  <si>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</si>
  <si>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</si>
  <si>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</si>
  <si>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</si>
  <si>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</si>
  <si>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</si>
  <si>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</si>
  <si>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</si>
  <si>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</si>
  <si>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Šesťhranná matica DIN 934 Nerezoceľ A2 M3</t>
  </si>
  <si>
    <t>Šesťhranná matica DIN 934 Nerezoceľ A2 M4</t>
  </si>
  <si>
    <t>Šesťhranná matica DIN 934 Nerezoceľ A2 M5</t>
  </si>
  <si>
    <t>Šesťhranná matica DIN 934 Nerezoceľ A2 M6</t>
  </si>
  <si>
    <t>Šesťhranná matica DIN 934 Nerezoceľ A2 M8</t>
  </si>
  <si>
    <t>Šesťhranná matica DIN 934 Nerezoceľ A2 M10</t>
  </si>
  <si>
    <t>Šesťhranná matica DIN 934 Nerezoceľ A2 M12</t>
  </si>
  <si>
    <t>Plochá podložka DIN 125-1A Oceľ Pozinkované 140 HV M3</t>
  </si>
  <si>
    <t>Plochá podložka DIN 125-1A Oceľ Pozinkované 140 HV M4</t>
  </si>
  <si>
    <t>Plochá podložka DIN 125-1A Oceľ Pozinkované 140 HV M5</t>
  </si>
  <si>
    <t>Plochá podložka DIN 125-1A Oceľ Pozinkované 140 HV M6</t>
  </si>
  <si>
    <t>Plochá podložka DIN 125-1A Oceľ Pozinkované 140 HV M8</t>
  </si>
  <si>
    <t>Plochá podložka DIN 125-1A Oceľ Pozinkované 140 HV M10</t>
  </si>
  <si>
    <t>Plochá podložka DIN 125-1A Oceľ Pozinkované 140 HV M12</t>
  </si>
  <si>
    <t>Plochá podložka DIN 125-1A Nerezoceľ A2 140 HV M3</t>
  </si>
  <si>
    <t>Plochá podložka DIN 125-1A Nerezoceľ A2 140 HV M4</t>
  </si>
  <si>
    <t>Plochá podložka DIN 125-1A Nerezoceľ A2 140 HV M5</t>
  </si>
  <si>
    <t>Plochá podložka DIN 125-1A Nerezoceľ A2 140 HV M6</t>
  </si>
  <si>
    <t>Plochá podložka DIN 125-1A Nerezoceľ A2 140 HV M8</t>
  </si>
  <si>
    <t>Plochá podložka DIN 125-1A Nerezoceľ A2 140 HV M10</t>
  </si>
  <si>
    <t>Plochá podložka DIN 125-1A Nerezoceľ A2 140 HV M12</t>
  </si>
  <si>
    <t>Plochá podložka DIN 125-1A Mosadz M3</t>
  </si>
  <si>
    <t>Plochá podložka DIN 125-1A Mosadz M4</t>
  </si>
  <si>
    <t>Plochá podložka DIN 125-1A Mosadz M5</t>
  </si>
  <si>
    <t>Plochá podložka DIN 125-1A Mosadz M6</t>
  </si>
  <si>
    <t>Plochá podložka DIN 125-1A Mosadz M8</t>
  </si>
  <si>
    <t>Plochá podložka DIN 125-1A Mosadz M10</t>
  </si>
  <si>
    <t>Plochá podložka DIN 125-1A Mosadz M12</t>
  </si>
  <si>
    <t>Plochá podložka DIN 125-1A Plast Polyamid (nylon) 6.6 M3</t>
  </si>
  <si>
    <t>Plochá podložka DIN 125-1A Plast Polyamid (nylon) 6.6 M4</t>
  </si>
  <si>
    <t>Plochá podložka DIN 125-1A Plast Polyamid (nylon) 6.6 M5</t>
  </si>
  <si>
    <t>Plochá podložka DIN 125-1A Plast Polyamid (nylon) 6.6 M6</t>
  </si>
  <si>
    <t>Plochá podložka DIN 125-1A Plast Polyamid (nylon) 6.6 M8</t>
  </si>
  <si>
    <t>Plochá podložka DIN 125-1A Plast Polyamid (nylon) 6.6 M10</t>
  </si>
  <si>
    <t>Plochá podložka DIN 125-1A Plast Polyamid (nylon) 6.6 M12</t>
  </si>
  <si>
    <t>Šesťhranná matica DIN 934 Plast Polyamid (nylon) 6.6 M3</t>
  </si>
  <si>
    <t>Šesťhranná matica DIN 934 Plast Polyamid (nylon) 6.6 M4</t>
  </si>
  <si>
    <t>Šesťhranná matica DIN 934 Plast Polyamid (nylon) 6.6 M5</t>
  </si>
  <si>
    <t>Šesťhranná matica DIN 934 Plast Polyamid (nylon) 6.6 M6</t>
  </si>
  <si>
    <t>Šesťhranná matica DIN 934 Plast Polyamid (nylon) 6.6 M8</t>
  </si>
  <si>
    <t>Šesťhranná matica DIN 934 Plast Polyamid (nylon) 6.6 M10</t>
  </si>
  <si>
    <t>Šesťhranná matica DIN 934 Plast Polyamid (nylon) 6.6 M12</t>
  </si>
  <si>
    <t>DIN 933 Skrutka šesťhranná Oceľ Pozinkované M3 x16</t>
  </si>
  <si>
    <t>DIN 933 Skrutka šesťhranná Nerezoceľ A2 M3 x16</t>
  </si>
  <si>
    <t>DIN 933 Skrutka šesťhranná Mosadz M3 x16</t>
  </si>
  <si>
    <t>DIN 933 Skrutka šesťhranná Oceľ Pozinkované M4x20</t>
  </si>
  <si>
    <t>DIN 933 Skrutka šesťhranná Nerezoceľ A2 M4x20</t>
  </si>
  <si>
    <t>DIN 933 Skrutka šesťhranná Mosadz M4x20</t>
  </si>
  <si>
    <t>DIN 933 Skrutka šesťhranná Oceľ Pozinkované M5x30</t>
  </si>
  <si>
    <t>DIN 933 Skrutka šesťhranná Oceľ Pozinkované M6x30</t>
  </si>
  <si>
    <t>DIN 933 Skrutka šesťhranná Nerezoceľ A2 M5x30</t>
  </si>
  <si>
    <t>DIN 933 Skrutka šesťhranná Nerezoceľ A2 M6x30</t>
  </si>
  <si>
    <t>DIN 933 Skrutka šesťhranná Mosadz M5x30</t>
  </si>
  <si>
    <t>DIN 933 Skrutka šesťhranná Mosadz M6x30</t>
  </si>
  <si>
    <t>DIN 933 Skrutka šesťhranná Oceľ Pozinkované M8x60</t>
  </si>
  <si>
    <t>DIN 933 Skrutka šesťhranná Mosadz M8x60</t>
  </si>
  <si>
    <t>DIN 933 Skrutka šesťhranná Oceľ Pozinkované M10x80</t>
  </si>
  <si>
    <t>DIN 933 Skrutka šesťhranná Nerezoceľ A2 M10x80</t>
  </si>
  <si>
    <t>DIN 933 Skrutka šesťhranná Mosadz M10x80</t>
  </si>
  <si>
    <t>DIN 933 Skrutka šesťhranná Nerezoceľ A2 M8x60</t>
  </si>
  <si>
    <t>DIN 933 Skrutka šesťhranná Mosadz M12x80</t>
  </si>
  <si>
    <t>DIN 933 Skrutka šesťhranná Nerezoceľ A2 M12x80</t>
  </si>
  <si>
    <t>DIN 933 Skrutka šesťhranná Oceľ Pozinkované M12x80</t>
  </si>
  <si>
    <t>Šesťhranná matica DIN 934 Mosadz  M3</t>
  </si>
  <si>
    <t>Šesťhranná matica DIN 934 Mosadz  M4</t>
  </si>
  <si>
    <t>Šesťhranná matica DIN 934 Mosadz  M5</t>
  </si>
  <si>
    <t>Šesťhranná matica DIN 934 Mosadz  M6</t>
  </si>
  <si>
    <t>Šesťhranná matica DIN 934 Mosadz  M8</t>
  </si>
  <si>
    <t>Šesťhranná matica DIN 934 Mosadz  M10</t>
  </si>
  <si>
    <t>Šesťhranná matica DIN 934 Mosadz  M12</t>
  </si>
  <si>
    <t>Poistná tanierová pružina Pozinkovana ISO 10683 flZnnc M3</t>
  </si>
  <si>
    <t>Závitová tyč  plast polyamid (nylon) M4x1000</t>
  </si>
  <si>
    <t>Poistná tanierová pružina Pozinkovana ISO 10683 flZnnc M4</t>
  </si>
  <si>
    <t>Poistná tanierová pružina Pozinkovana ISO 10683 flZnnc M5</t>
  </si>
  <si>
    <t>Poistná tanierová pružina Pozinkovana ISO 10683 flZnnc M6</t>
  </si>
  <si>
    <t>Poistná tanierová pružina Pozinkovana ISO 10683 flZnnc M8</t>
  </si>
  <si>
    <t>Poistná tanierová pružina Pozinkovana ISO 10683 flZnnc M10</t>
  </si>
  <si>
    <t>Poistná tanierová pružina Pozinkovana ISO 10683 flZnnc M12</t>
  </si>
  <si>
    <t>Závitová tyč  plast polyamid (nylon) M3x1000</t>
  </si>
  <si>
    <t>Závitová tyč  Mosadz M4x1000</t>
  </si>
  <si>
    <t>Závitová tyč  Mosadz M5x1000</t>
  </si>
  <si>
    <t>Závitová tyč  Mosadz M6x1000</t>
  </si>
  <si>
    <t>Závitová tyč  Mosadz M8x1000</t>
  </si>
  <si>
    <t>Závitová tyč  Mosadz M10x1000</t>
  </si>
  <si>
    <t>Závitová tyč  Mosadz M12x1000</t>
  </si>
  <si>
    <t>Závitová tyč  plast polyamid (nylon) M5x1002</t>
  </si>
  <si>
    <t>Závitová tyč  plast polyamid (nylon) M6x1000</t>
  </si>
  <si>
    <t>Závitová tyč  plast polyamid (nylon) M8x1000</t>
  </si>
  <si>
    <t>Závitová tyč  plast polyamid (nylon) M10x1000</t>
  </si>
  <si>
    <t>Závitová tyč  plast polyamid (nylon) M12x1000</t>
  </si>
  <si>
    <t>Závitová tyč  Nerezoceľ A2 M3x1000</t>
  </si>
  <si>
    <t>Závitová tyč  Nerezoceľ A2 M4x1000</t>
  </si>
  <si>
    <t>Závitová tyč  Nerezoceľ A2 M5x1000</t>
  </si>
  <si>
    <t>Závitová tyč  Nerezoceľ A2 M6x1000</t>
  </si>
  <si>
    <t>Závitová tyč  Nerezoceľ A2 M8x1000</t>
  </si>
  <si>
    <t>Závitová tyč  Nerezoceľ A2 M10x1000</t>
  </si>
  <si>
    <t>Závitová tyč  Nerezoceľ A2 M12x1000</t>
  </si>
  <si>
    <t>Závitová tyč  Oceľ Pozinkované M3x1000</t>
  </si>
  <si>
    <t>Závitová tyč  Oceľ Pozinkované M4x1000</t>
  </si>
  <si>
    <t>Závitová tyč  Oceľ Pozinkované M5x1000</t>
  </si>
  <si>
    <t>Závitová tyč  Oceľ Pozinkované M6x1000</t>
  </si>
  <si>
    <t>Závitová tyč  Oceľ Pozinkované M8x1000</t>
  </si>
  <si>
    <t>Závitová tyč  Oceľ Pozinkované M10x1000</t>
  </si>
  <si>
    <t>Závitová tyč  Oceľ Pozinkované M12x1000</t>
  </si>
  <si>
    <t>Závitová  tyč Mosadz M3x1000</t>
  </si>
  <si>
    <t>DIN 933 Skrutka šesťhranná plast polyamid (nylon) M3 x16</t>
  </si>
  <si>
    <t>DIN 933 Skrutka šesťhranná plast polyamid (nylon) M4x20</t>
  </si>
  <si>
    <t>DIN 933 Skrutka šesťhranná plast polyamid (nylon) M5x30</t>
  </si>
  <si>
    <t>DIN 933 Skrutka šesťhranná plast polyamid (nylon) M6x30</t>
  </si>
  <si>
    <t>DIN 933 Skrutka šesťhranná plast polyamid (nylon) M8x60</t>
  </si>
  <si>
    <t>DIN 933 Skrutka šesťhranná plast polyamid (nylon) M10x80</t>
  </si>
  <si>
    <t>DIN 933 Skrutka šesťhranná plast polyamid (nylon) M12x80</t>
  </si>
  <si>
    <t>Skrutka s vnútorným šesťhranom (imbus) DIN 912 Oceľ Pozinkované 8.8 M8X16</t>
  </si>
  <si>
    <t>Číslo výrobcu</t>
  </si>
  <si>
    <t>Výrobca</t>
  </si>
  <si>
    <t>Smart s.r.o.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</si>
</sst>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5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0" tint="-0.499984740745262"/>
      <name val="Arial"/>
      <family val="2"/>
      <charset val="238"/>
    </font>
    <font>
      <b/>
      <sz val="10"/>
      <color theme="9" tint="-0.249977111117893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b/>
      <sz val="8"/>
      <color theme="9" tint="-0.249977111117893"/>
      <name val="Arial"/>
      <family val="2"/>
      <charset val="238"/>
    </font>
    <font>
      <b/>
      <sz val="10"/>
      <color theme="0" tint="-0.499984740745262"/>
      <name val="Arial"/>
      <family val="2"/>
      <charset val="238"/>
    </font>
    <font>
      <b/>
      <sz val="8"/>
      <color theme="0" tint="-0.499984740745262"/>
      <name val="Arial"/>
      <family val="2"/>
      <charset val="238"/>
    </font>
    <font>
      <sz val="11"/>
      <name val="Calibri"/>
      <family val="2"/>
      <charset val="238"/>
      <scheme val="minor"/>
    </font>
    <font>
      <sz val="9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rgb="FF0F3057"/>
      <name val="Calibri"/>
      <family val="2"/>
      <charset val="238"/>
      <scheme val="minor"/>
    </font>
    <font>
      <sz val="11"/>
      <color rgb="FF0F3057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color rgb="FF232323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BE5D6"/>
        <bgColor rgb="FFD6E9C9"/>
      </patternFill>
    </fill>
    <fill>
      <patternFill patternType="solid">
        <fgColor rgb="FFFBE5D6"/>
        <bgColor indexed="64"/>
      </patternFill>
    </fill>
    <fill>
      <patternFill patternType="solid">
        <fgColor rgb="FFE7E7FF"/>
        <bgColor indexed="22"/>
      </patternFill>
    </fill>
    <fill>
      <patternFill patternType="solid">
        <fgColor rgb="FFFBE5D6"/>
        <bgColor indexed="27"/>
      </patternFill>
    </fill>
    <fill>
      <patternFill patternType="solid">
        <fgColor rgb="FFFFFFFF"/>
        <bgColor indexed="64"/>
      </patternFill>
    </fill>
    <fill>
      <patternFill patternType="solid">
        <fgColor rgb="FFFFBDD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7F7F7"/>
        <bgColor indexed="64"/>
      </patternFill>
    </fill>
    <fill>
      <patternFill patternType="solid">
        <fgColor rgb="FFFBE5D6"/>
        <bgColor rgb="FF000000"/>
      </patternFill>
    </fill>
    <fill>
      <patternFill patternType="solid">
        <fgColor rgb="FFE2EFDA"/>
        <bgColor rgb="FF000000"/>
      </patternFill>
    </fill>
  </fills>
  <borders count="2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5" fillId="10" borderId="18" applyNumberFormat="0" applyFont="0" applyAlignment="0" applyProtection="0"/>
    <xf numFmtId="0" fontId="20" fillId="0" borderId="0" applyNumberFormat="0" applyFill="0" applyBorder="0" applyAlignment="0" applyProtection="0"/>
  </cellStyleXfs>
  <cellXfs count="96">
    <xf numFmtId="0" fontId="0" fillId="0" borderId="0" xfId="0"/>
    <xf numFmtId="4" fontId="2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/>
    <xf numFmtId="4" fontId="8" fillId="0" borderId="0" xfId="0" applyNumberFormat="1" applyFont="1" applyAlignment="1">
      <alignment horizontal="left" vertical="center" wrapText="1"/>
    </xf>
    <xf numFmtId="4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0" fillId="0" borderId="16" xfId="0" applyFont="1" applyBorder="1"/>
    <xf numFmtId="0" fontId="7" fillId="9" borderId="13" xfId="0" applyFont="1" applyFill="1" applyBorder="1" applyAlignment="1">
      <alignment vertical="top"/>
    </xf>
    <xf numFmtId="0" fontId="1" fillId="0" borderId="0" xfId="0" applyFont="1" applyAlignment="1">
      <alignment horizontal="left" vertical="center"/>
    </xf>
    <xf numFmtId="4" fontId="12" fillId="0" borderId="0" xfId="0" applyNumberFormat="1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0" xfId="0" applyFont="1"/>
    <xf numFmtId="4" fontId="15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3" fontId="14" fillId="0" borderId="19" xfId="0" applyNumberFormat="1" applyFont="1" applyBorder="1" applyAlignment="1">
      <alignment horizontal="center" vertical="center" wrapText="1"/>
    </xf>
    <xf numFmtId="4" fontId="14" fillId="0" borderId="19" xfId="0" applyNumberFormat="1" applyFont="1" applyBorder="1" applyAlignment="1">
      <alignment horizontal="center" vertical="center" wrapText="1"/>
    </xf>
    <xf numFmtId="4" fontId="14" fillId="0" borderId="20" xfId="0" applyNumberFormat="1" applyFont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4" fontId="14" fillId="0" borderId="21" xfId="0" applyNumberFormat="1" applyFont="1" applyBorder="1" applyAlignment="1">
      <alignment horizontal="center" vertical="center"/>
    </xf>
    <xf numFmtId="4" fontId="9" fillId="3" borderId="15" xfId="0" applyNumberFormat="1" applyFont="1" applyFill="1" applyBorder="1" applyAlignment="1">
      <alignment horizontal="center" vertical="center" wrapText="1"/>
    </xf>
    <xf numFmtId="3" fontId="9" fillId="3" borderId="15" xfId="0" applyNumberFormat="1" applyFont="1" applyFill="1" applyBorder="1" applyAlignment="1">
      <alignment horizontal="center" vertical="center" wrapText="1"/>
    </xf>
    <xf numFmtId="4" fontId="4" fillId="3" borderId="15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4" fontId="14" fillId="0" borderId="22" xfId="0" applyNumberFormat="1" applyFont="1" applyBorder="1" applyAlignment="1">
      <alignment horizontal="center" vertical="center"/>
    </xf>
    <xf numFmtId="4" fontId="15" fillId="0" borderId="23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4" fontId="14" fillId="0" borderId="22" xfId="0" applyNumberFormat="1" applyFont="1" applyBorder="1" applyAlignment="1">
      <alignment horizontal="center" vertical="center" wrapText="1"/>
    </xf>
    <xf numFmtId="0" fontId="2" fillId="0" borderId="0" xfId="0" applyFont="1"/>
    <xf numFmtId="1" fontId="2" fillId="2" borderId="15" xfId="0" applyNumberFormat="1" applyFont="1" applyFill="1" applyBorder="1" applyAlignment="1">
      <alignment horizontal="center" vertical="center"/>
    </xf>
    <xf numFmtId="0" fontId="16" fillId="0" borderId="0" xfId="0" applyFont="1"/>
    <xf numFmtId="4" fontId="7" fillId="0" borderId="15" xfId="0" applyNumberFormat="1" applyFont="1" applyBorder="1" applyAlignment="1">
      <alignment horizontal="center" vertical="center"/>
    </xf>
    <xf numFmtId="4" fontId="1" fillId="8" borderId="1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top"/>
    </xf>
    <xf numFmtId="0" fontId="16" fillId="0" borderId="0" xfId="2" applyFont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0" fillId="0" borderId="0" xfId="2"/>
    <xf numFmtId="0" fontId="22" fillId="0" borderId="0" xfId="0" applyFont="1" applyAlignment="1">
      <alignment horizontal="center" vertical="center"/>
    </xf>
    <xf numFmtId="0" fontId="20" fillId="7" borderId="0" xfId="2" applyFill="1" applyAlignment="1">
      <alignment vertical="center" wrapText="1"/>
    </xf>
    <xf numFmtId="0" fontId="16" fillId="11" borderId="0" xfId="2" applyFont="1" applyFill="1" applyAlignment="1">
      <alignment horizontal="center" vertical="center" wrapText="1"/>
    </xf>
    <xf numFmtId="0" fontId="16" fillId="7" borderId="0" xfId="2" applyFont="1" applyFill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1" fillId="12" borderId="11" xfId="0" applyFont="1" applyFill="1" applyBorder="1" applyAlignment="1">
      <alignment horizontal="center" vertical="center" wrapText="1"/>
    </xf>
    <xf numFmtId="49" fontId="17" fillId="2" borderId="11" xfId="0" applyNumberFormat="1" applyFont="1" applyFill="1" applyBorder="1" applyAlignment="1">
      <alignment horizontal="center" vertical="center"/>
    </xf>
    <xf numFmtId="49" fontId="17" fillId="2" borderId="12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4" fontId="12" fillId="0" borderId="1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24" xfId="0" applyNumberFormat="1" applyFont="1" applyBorder="1" applyAlignment="1">
      <alignment horizontal="center" vertical="center" wrapText="1"/>
    </xf>
    <xf numFmtId="4" fontId="2" fillId="0" borderId="2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9" fillId="4" borderId="15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wrapText="1"/>
    </xf>
    <xf numFmtId="0" fontId="7" fillId="9" borderId="12" xfId="0" applyFont="1" applyFill="1" applyBorder="1" applyAlignment="1">
      <alignment horizont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4" fontId="4" fillId="3" borderId="3" xfId="0" applyNumberFormat="1" applyFont="1" applyFill="1" applyBorder="1" applyAlignment="1">
      <alignment horizontal="center" vertical="center" wrapText="1"/>
    </xf>
    <xf numFmtId="4" fontId="4" fillId="3" borderId="4" xfId="0" applyNumberFormat="1" applyFont="1" applyFill="1" applyBorder="1" applyAlignment="1">
      <alignment horizontal="center" vertical="center" wrapText="1"/>
    </xf>
    <xf numFmtId="4" fontId="4" fillId="3" borderId="5" xfId="0" applyNumberFormat="1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left" vertical="top" wrapText="1"/>
    </xf>
    <xf numFmtId="0" fontId="7" fillId="9" borderId="13" xfId="0" applyFont="1" applyFill="1" applyBorder="1" applyAlignment="1">
      <alignment horizontal="left" vertical="top" wrapText="1"/>
    </xf>
    <xf numFmtId="166" fontId="2" fillId="13" borderId="15" xfId="0" applyNumberFormat="1" applyFont="1" applyFill="1" applyBorder="1" applyAlignment="1">
      <alignment horizontal="center" vertical="center"/>
    </xf>
  </cellXfs>
  <cellStyles count="3">
    <cellStyle name="Hypertextové prepojenie" xfId="2" builtinId="8"/>
    <cellStyle name="Normálna" xfId="0" builtinId="0"/>
    <cellStyle name="Poznámka 2" xfId="1" xr:uid="{00000000-0005-0000-0000-000002000000}"/>
  </cellStyles>
  <dxfs count="0"/>
  <tableStyles count="0" defaultTableStyle="TableStyleMedium2" defaultPivotStyle="PivotStyleLight16"/>
  <colors>
    <mruColors>
      <color rgb="FFCC00CC"/>
      <color rgb="FF660066"/>
      <color rgb="FF9900CC"/>
      <color rgb="FF9900FF"/>
      <color rgb="FFCCCCFF"/>
      <color rgb="FFFF00FF"/>
      <color rgb="FFFBE5D6"/>
      <color rgb="FFFFBDD8"/>
      <color rgb="FFE7E7FF"/>
      <color rgb="FFFF8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7"/>
  <sheetViews>
    <sheetView tabSelected="1" topLeftCell="A9" zoomScaleNormal="100" workbookViewId="0">
      <selection activeCell="P136" sqref="P136:Q136"/>
    </sheetView>
  </sheetViews>
  <sheetFormatPr defaultColWidth="9.1796875" defaultRowHeight="14.5" x14ac:dyDescent="0.35"/>
  <cols>
    <col min="1" max="1" width="5.54296875" customWidth="1"/>
    <col min="2" max="2" width="53.453125" style="5" customWidth="1"/>
    <col min="3" max="3" width="11.6328125" style="5" customWidth="1"/>
    <col min="4" max="4" width="4.6328125" style="5" customWidth="1"/>
    <col min="5" max="5" width="9.1796875" style="2"/>
    <col min="6" max="6" width="12.26953125" style="2" customWidth="1"/>
    <col min="7" max="7" width="2.54296875" customWidth="1"/>
    <col min="8" max="8" width="12.54296875" style="3" customWidth="1"/>
    <col min="9" max="9" width="9.1796875" style="2" customWidth="1"/>
    <col min="10" max="10" width="9.1796875" style="3" customWidth="1"/>
    <col min="11" max="11" width="11.7265625" style="3" customWidth="1"/>
    <col min="12" max="12" width="14" style="3" customWidth="1"/>
    <col min="13" max="13" width="9.1796875" style="3" customWidth="1"/>
    <col min="14" max="14" width="17.453125" style="3" customWidth="1"/>
    <col min="15" max="15" width="3.7265625" customWidth="1"/>
    <col min="16" max="16" width="26" style="5" customWidth="1"/>
    <col min="17" max="17" width="22.1796875" customWidth="1"/>
    <col min="18" max="18" width="5" customWidth="1"/>
  </cols>
  <sheetData>
    <row r="1" spans="1:19" x14ac:dyDescent="0.35">
      <c r="A1" s="71" t="s">
        <v>28</v>
      </c>
      <c r="B1" s="71"/>
      <c r="C1" s="72" t="s">
        <v>29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1"/>
      <c r="P1" s="4"/>
      <c r="Q1" s="1"/>
      <c r="R1" s="6"/>
    </row>
    <row r="2" spans="1:19" x14ac:dyDescent="0.35">
      <c r="A2" s="72" t="s">
        <v>30</v>
      </c>
      <c r="B2" s="72"/>
      <c r="C2" s="73" t="s">
        <v>46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1"/>
      <c r="P2" s="4"/>
      <c r="Q2" s="1"/>
      <c r="R2" s="6"/>
    </row>
    <row r="3" spans="1:19" x14ac:dyDescent="0.35">
      <c r="A3" s="71" t="s">
        <v>1</v>
      </c>
      <c r="B3" s="71"/>
      <c r="C3" s="74" t="s">
        <v>181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1"/>
      <c r="P3" s="4"/>
      <c r="Q3" s="1"/>
      <c r="R3" s="6"/>
    </row>
    <row r="4" spans="1:19" x14ac:dyDescent="0.3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1"/>
      <c r="P4" s="4"/>
      <c r="Q4" s="1"/>
      <c r="R4" s="6"/>
    </row>
    <row r="5" spans="1:19" ht="20.149999999999999" customHeight="1" x14ac:dyDescent="0.35">
      <c r="A5" s="80" t="s">
        <v>41</v>
      </c>
      <c r="B5" s="81"/>
      <c r="C5" s="81"/>
      <c r="D5" s="82"/>
      <c r="E5" s="81"/>
      <c r="F5" s="81"/>
      <c r="G5" s="83"/>
      <c r="H5" s="75" t="s">
        <v>31</v>
      </c>
      <c r="I5" s="75"/>
      <c r="J5" s="75"/>
      <c r="K5" s="75"/>
      <c r="L5" s="75"/>
      <c r="M5" s="75"/>
      <c r="N5" s="75"/>
      <c r="O5" s="1"/>
      <c r="P5" s="4"/>
      <c r="Q5" s="1"/>
      <c r="R5" s="6"/>
    </row>
    <row r="6" spans="1:19" ht="34.5" customHeight="1" x14ac:dyDescent="0.35">
      <c r="A6" s="84" t="s">
        <v>42</v>
      </c>
      <c r="B6" s="81"/>
      <c r="C6" s="81"/>
      <c r="D6" s="82"/>
      <c r="E6" s="81"/>
      <c r="F6" s="81"/>
      <c r="G6" s="83"/>
      <c r="H6" s="75"/>
      <c r="I6" s="75"/>
      <c r="J6" s="75"/>
      <c r="K6" s="75"/>
      <c r="L6" s="75"/>
      <c r="M6" s="75"/>
      <c r="N6" s="75"/>
      <c r="O6" s="1"/>
      <c r="P6" s="4"/>
      <c r="Q6" s="1"/>
      <c r="R6" s="6"/>
    </row>
    <row r="7" spans="1:19" x14ac:dyDescent="0.35">
      <c r="A7" s="15"/>
      <c r="B7" s="15"/>
      <c r="C7" s="15"/>
      <c r="D7" s="15"/>
      <c r="E7" s="15"/>
      <c r="F7" s="15"/>
      <c r="G7" s="6"/>
      <c r="H7" s="16"/>
      <c r="I7" s="16"/>
      <c r="J7" s="16"/>
      <c r="K7" s="16"/>
      <c r="L7" s="16"/>
      <c r="M7" s="16"/>
      <c r="N7" s="16"/>
      <c r="O7" s="1"/>
      <c r="P7" s="4"/>
      <c r="Q7" s="1"/>
      <c r="R7" s="6"/>
    </row>
    <row r="8" spans="1:19" x14ac:dyDescent="0.35">
      <c r="A8" s="76"/>
      <c r="B8" s="76"/>
      <c r="C8" s="76"/>
      <c r="D8" s="76"/>
      <c r="E8" s="76"/>
      <c r="F8" s="76"/>
      <c r="G8" s="17"/>
      <c r="H8" s="77" t="s">
        <v>32</v>
      </c>
      <c r="I8" s="78"/>
      <c r="J8" s="78"/>
      <c r="K8" s="78"/>
      <c r="L8" s="78"/>
      <c r="M8" s="78"/>
      <c r="N8" s="79"/>
      <c r="O8" s="8"/>
      <c r="P8" s="7"/>
      <c r="Q8" s="1"/>
      <c r="R8" s="6"/>
    </row>
    <row r="9" spans="1:19" s="29" customFormat="1" ht="13" x14ac:dyDescent="0.3">
      <c r="A9" s="22" t="s">
        <v>2</v>
      </c>
      <c r="B9" s="22" t="s">
        <v>3</v>
      </c>
      <c r="C9" s="23" t="s">
        <v>4</v>
      </c>
      <c r="D9" s="23" t="s">
        <v>44</v>
      </c>
      <c r="E9" s="23" t="s">
        <v>5</v>
      </c>
      <c r="F9" s="23" t="s">
        <v>6</v>
      </c>
      <c r="G9" s="18" t="s">
        <v>7</v>
      </c>
      <c r="H9" s="25" t="s">
        <v>8</v>
      </c>
      <c r="I9" s="24" t="s">
        <v>9</v>
      </c>
      <c r="J9" s="25" t="s">
        <v>10</v>
      </c>
      <c r="K9" s="25" t="s">
        <v>11</v>
      </c>
      <c r="L9" s="25" t="s">
        <v>12</v>
      </c>
      <c r="M9" s="25" t="s">
        <v>13</v>
      </c>
      <c r="N9" s="26" t="s">
        <v>14</v>
      </c>
      <c r="O9" s="43"/>
      <c r="P9" s="27"/>
      <c r="Q9" s="28"/>
      <c r="R9" s="19"/>
      <c r="S9" s="42"/>
    </row>
    <row r="10" spans="1:19" s="21" customFormat="1" ht="30" customHeight="1" x14ac:dyDescent="0.35">
      <c r="A10" s="67"/>
      <c r="B10" s="68"/>
      <c r="C10" s="68"/>
      <c r="D10" s="69"/>
      <c r="E10" s="68"/>
      <c r="F10" s="70"/>
      <c r="G10" s="19"/>
      <c r="H10" s="90" t="s">
        <v>15</v>
      </c>
      <c r="I10" s="91"/>
      <c r="J10" s="91"/>
      <c r="K10" s="92"/>
      <c r="L10" s="90" t="s">
        <v>40</v>
      </c>
      <c r="M10" s="91"/>
      <c r="N10" s="92"/>
      <c r="O10" s="19"/>
      <c r="P10" s="85" t="s">
        <v>36</v>
      </c>
      <c r="Q10" s="85"/>
      <c r="R10" s="19"/>
    </row>
    <row r="11" spans="1:19" s="21" customFormat="1" ht="39" x14ac:dyDescent="0.35">
      <c r="A11" s="30" t="s">
        <v>27</v>
      </c>
      <c r="B11" s="33" t="s">
        <v>24</v>
      </c>
      <c r="C11" s="64" t="s">
        <v>179</v>
      </c>
      <c r="D11" s="64" t="s">
        <v>180</v>
      </c>
      <c r="E11" s="33" t="s">
        <v>0</v>
      </c>
      <c r="F11" s="33" t="s">
        <v>39</v>
      </c>
      <c r="G11" s="19"/>
      <c r="H11" s="35" t="s">
        <v>16</v>
      </c>
      <c r="I11" s="36" t="s">
        <v>26</v>
      </c>
      <c r="J11" s="37" t="s">
        <v>17</v>
      </c>
      <c r="K11" s="37" t="s">
        <v>18</v>
      </c>
      <c r="L11" s="37" t="s">
        <v>16</v>
      </c>
      <c r="M11" s="37" t="s">
        <v>17</v>
      </c>
      <c r="N11" s="37" t="s">
        <v>18</v>
      </c>
      <c r="O11" s="19"/>
      <c r="P11" s="88" t="s">
        <v>33</v>
      </c>
      <c r="Q11" s="89"/>
      <c r="R11" s="19"/>
    </row>
    <row r="12" spans="1:19" s="20" customFormat="1" ht="13" x14ac:dyDescent="0.3">
      <c r="A12" s="31" t="s">
        <v>2</v>
      </c>
      <c r="B12" s="31" t="s">
        <v>3</v>
      </c>
      <c r="C12" s="32"/>
      <c r="D12" s="32"/>
      <c r="E12" s="32" t="s">
        <v>5</v>
      </c>
      <c r="F12" s="32" t="s">
        <v>6</v>
      </c>
      <c r="G12" s="39" t="s">
        <v>7</v>
      </c>
      <c r="H12" s="34" t="s">
        <v>8</v>
      </c>
      <c r="I12" s="34" t="s">
        <v>9</v>
      </c>
      <c r="J12" s="34" t="s">
        <v>19</v>
      </c>
      <c r="K12" s="34" t="s">
        <v>23</v>
      </c>
      <c r="L12" s="34" t="s">
        <v>20</v>
      </c>
      <c r="M12" s="34" t="s">
        <v>21</v>
      </c>
      <c r="N12" s="40" t="s">
        <v>22</v>
      </c>
      <c r="O12" s="43"/>
      <c r="P12" s="27"/>
      <c r="Q12" s="27"/>
      <c r="R12" s="19"/>
      <c r="S12" s="41"/>
    </row>
    <row r="13" spans="1:19" s="46" customFormat="1" ht="22" customHeight="1" x14ac:dyDescent="0.35">
      <c r="A13" s="30" t="s">
        <v>47</v>
      </c>
      <c r="B13" s="56" t="s">
        <v>48</v>
      </c>
      <c r="C13" s="58"/>
      <c r="D13" s="50"/>
      <c r="E13" s="52" t="s">
        <v>43</v>
      </c>
      <c r="F13" s="51">
        <v>200</v>
      </c>
      <c r="G13" s="44"/>
      <c r="H13" s="95">
        <v>1.3500000000000001E-3</v>
      </c>
      <c r="I13" s="45">
        <v>23</v>
      </c>
      <c r="J13" s="47">
        <f>H13/100*I13</f>
        <v>0</v>
      </c>
      <c r="K13" s="47">
        <f>H13+J13</f>
        <v>0</v>
      </c>
      <c r="L13" s="47">
        <f>F13*H13</f>
        <v>0.27</v>
      </c>
      <c r="M13" s="47">
        <f>L13/100*I13</f>
        <v>0.06</v>
      </c>
      <c r="N13" s="47">
        <f>L13+M13</f>
        <v>0.33</v>
      </c>
      <c r="O13" s="44"/>
      <c r="P13" s="65"/>
      <c r="Q13" s="66"/>
      <c r="R13" s="44"/>
    </row>
    <row r="14" spans="1:19" x14ac:dyDescent="0.35">
      <c r="A14" s="30" t="s">
        <v>55</v>
      </c>
      <c r="B14" s="56" t="s">
        <v>49</v>
      </c>
      <c r="C14" s="58"/>
      <c r="D14" s="50"/>
      <c r="E14" s="52" t="s">
        <v>43</v>
      </c>
      <c r="F14" s="51">
        <v>200</v>
      </c>
      <c r="G14" s="44"/>
      <c r="H14" s="95">
        <v>1.65E-3</v>
      </c>
      <c r="I14" s="45">
        <v>23</v>
      </c>
      <c r="J14" s="47">
        <f t="shared" ref="J14:J77" si="0">H14/100*I14</f>
        <v>0</v>
      </c>
      <c r="K14" s="47">
        <f t="shared" ref="K14:K77" si="1">H14+J14</f>
        <v>0</v>
      </c>
      <c r="L14" s="47">
        <f t="shared" ref="L14:L77" si="2">F14*H14</f>
        <v>0.33</v>
      </c>
      <c r="M14" s="47">
        <f t="shared" ref="M14:M77" si="3">L14/100*I14</f>
        <v>0.08</v>
      </c>
      <c r="N14" s="47">
        <f t="shared" ref="N14:N77" si="4">L14+M14</f>
        <v>0.41</v>
      </c>
      <c r="O14" s="6"/>
      <c r="P14" s="65"/>
      <c r="Q14" s="66"/>
      <c r="R14" s="6"/>
    </row>
    <row r="15" spans="1:19" x14ac:dyDescent="0.35">
      <c r="A15" s="30" t="s">
        <v>56</v>
      </c>
      <c r="B15" s="56" t="s">
        <v>50</v>
      </c>
      <c r="C15" s="58"/>
      <c r="D15" s="60"/>
      <c r="E15" s="52" t="s">
        <v>43</v>
      </c>
      <c r="F15" s="51">
        <v>200</v>
      </c>
      <c r="G15" s="44"/>
      <c r="H15" s="95">
        <v>2.5500000000000002E-3</v>
      </c>
      <c r="I15" s="45">
        <v>23</v>
      </c>
      <c r="J15" s="47">
        <f t="shared" si="0"/>
        <v>0</v>
      </c>
      <c r="K15" s="47">
        <f t="shared" si="1"/>
        <v>0</v>
      </c>
      <c r="L15" s="47">
        <f t="shared" si="2"/>
        <v>0.51</v>
      </c>
      <c r="M15" s="47">
        <f t="shared" si="3"/>
        <v>0.12</v>
      </c>
      <c r="N15" s="47">
        <f t="shared" si="4"/>
        <v>0.63</v>
      </c>
      <c r="O15" s="6"/>
      <c r="P15" s="65"/>
      <c r="Q15" s="66"/>
      <c r="R15" s="6"/>
    </row>
    <row r="16" spans="1:19" x14ac:dyDescent="0.35">
      <c r="A16" s="30" t="s">
        <v>57</v>
      </c>
      <c r="B16" s="56" t="s">
        <v>51</v>
      </c>
      <c r="C16" s="58"/>
      <c r="D16" s="50"/>
      <c r="E16" s="52" t="s">
        <v>43</v>
      </c>
      <c r="F16" s="51">
        <v>200</v>
      </c>
      <c r="G16" s="44"/>
      <c r="H16" s="95">
        <v>4.6499999999999996E-3</v>
      </c>
      <c r="I16" s="45">
        <v>23</v>
      </c>
      <c r="J16" s="47">
        <f t="shared" si="0"/>
        <v>0</v>
      </c>
      <c r="K16" s="47">
        <f t="shared" si="1"/>
        <v>0</v>
      </c>
      <c r="L16" s="47">
        <f t="shared" si="2"/>
        <v>0.93</v>
      </c>
      <c r="M16" s="47">
        <f t="shared" si="3"/>
        <v>0.21</v>
      </c>
      <c r="N16" s="47">
        <f t="shared" si="4"/>
        <v>1.1399999999999999</v>
      </c>
      <c r="O16" s="53"/>
      <c r="P16" s="65"/>
      <c r="Q16" s="66"/>
      <c r="R16" s="6"/>
    </row>
    <row r="17" spans="1:18" x14ac:dyDescent="0.35">
      <c r="A17" s="30" t="s">
        <v>58</v>
      </c>
      <c r="B17" s="56" t="s">
        <v>52</v>
      </c>
      <c r="C17" s="58"/>
      <c r="D17" s="61"/>
      <c r="E17" s="52" t="s">
        <v>43</v>
      </c>
      <c r="F17" s="51">
        <v>200</v>
      </c>
      <c r="G17" s="44"/>
      <c r="H17" s="95">
        <v>1.0500000000000001E-2</v>
      </c>
      <c r="I17" s="45">
        <v>23</v>
      </c>
      <c r="J17" s="47">
        <f t="shared" si="0"/>
        <v>0</v>
      </c>
      <c r="K17" s="47">
        <f t="shared" si="1"/>
        <v>0.01</v>
      </c>
      <c r="L17" s="47">
        <f t="shared" si="2"/>
        <v>2.1</v>
      </c>
      <c r="M17" s="47">
        <f t="shared" si="3"/>
        <v>0.48</v>
      </c>
      <c r="N17" s="47">
        <f t="shared" si="4"/>
        <v>2.58</v>
      </c>
      <c r="O17" s="53"/>
      <c r="P17" s="65"/>
      <c r="Q17" s="66"/>
      <c r="R17" s="6"/>
    </row>
    <row r="18" spans="1:18" x14ac:dyDescent="0.35">
      <c r="A18" s="30" t="s">
        <v>59</v>
      </c>
      <c r="B18" s="56" t="s">
        <v>53</v>
      </c>
      <c r="C18" s="58"/>
      <c r="D18" s="50"/>
      <c r="E18" s="52" t="s">
        <v>43</v>
      </c>
      <c r="F18" s="51">
        <v>100</v>
      </c>
      <c r="G18" s="44"/>
      <c r="H18" s="95">
        <v>2.01E-2</v>
      </c>
      <c r="I18" s="45">
        <v>23</v>
      </c>
      <c r="J18" s="47">
        <f t="shared" si="0"/>
        <v>0</v>
      </c>
      <c r="K18" s="47">
        <f t="shared" si="1"/>
        <v>0.02</v>
      </c>
      <c r="L18" s="47">
        <f t="shared" si="2"/>
        <v>2.0099999999999998</v>
      </c>
      <c r="M18" s="47">
        <f t="shared" si="3"/>
        <v>0.46</v>
      </c>
      <c r="N18" s="47">
        <f t="shared" si="4"/>
        <v>2.4700000000000002</v>
      </c>
      <c r="O18" s="53"/>
      <c r="P18" s="65"/>
      <c r="Q18" s="66"/>
      <c r="R18" s="6"/>
    </row>
    <row r="19" spans="1:18" x14ac:dyDescent="0.35">
      <c r="A19" s="30" t="s">
        <v>60</v>
      </c>
      <c r="B19" s="56" t="s">
        <v>54</v>
      </c>
      <c r="C19" s="58"/>
      <c r="D19" s="50"/>
      <c r="E19" s="52" t="s">
        <v>43</v>
      </c>
      <c r="F19" s="51">
        <v>100</v>
      </c>
      <c r="G19" s="44"/>
      <c r="H19" s="95">
        <v>3.075E-2</v>
      </c>
      <c r="I19" s="45">
        <v>23</v>
      </c>
      <c r="J19" s="47">
        <f t="shared" si="0"/>
        <v>0.01</v>
      </c>
      <c r="K19" s="47">
        <f t="shared" si="1"/>
        <v>0.04</v>
      </c>
      <c r="L19" s="47">
        <f t="shared" si="2"/>
        <v>3.08</v>
      </c>
      <c r="M19" s="47">
        <f t="shared" si="3"/>
        <v>0.71</v>
      </c>
      <c r="N19" s="47">
        <f t="shared" si="4"/>
        <v>3.79</v>
      </c>
      <c r="O19" s="53"/>
      <c r="P19" s="65"/>
      <c r="Q19" s="66"/>
      <c r="R19" s="6"/>
    </row>
    <row r="20" spans="1:18" x14ac:dyDescent="0.35">
      <c r="A20" s="30" t="s">
        <v>61</v>
      </c>
      <c r="B20" s="56" t="s">
        <v>66</v>
      </c>
      <c r="C20" s="58"/>
      <c r="D20" s="60"/>
      <c r="E20" s="52" t="s">
        <v>43</v>
      </c>
      <c r="F20" s="51">
        <v>200</v>
      </c>
      <c r="G20" s="44"/>
      <c r="H20" s="95">
        <v>4.9500000000000004E-3</v>
      </c>
      <c r="I20" s="45">
        <v>23</v>
      </c>
      <c r="J20" s="47">
        <f t="shared" si="0"/>
        <v>0</v>
      </c>
      <c r="K20" s="47">
        <f t="shared" si="1"/>
        <v>0</v>
      </c>
      <c r="L20" s="47">
        <f t="shared" si="2"/>
        <v>0.99</v>
      </c>
      <c r="M20" s="47">
        <f t="shared" si="3"/>
        <v>0.23</v>
      </c>
      <c r="N20" s="47">
        <f t="shared" si="4"/>
        <v>1.22</v>
      </c>
      <c r="O20" s="53"/>
      <c r="P20" s="65"/>
      <c r="Q20" s="66"/>
      <c r="R20" s="6"/>
    </row>
    <row r="21" spans="1:18" x14ac:dyDescent="0.35">
      <c r="A21" s="30" t="s">
        <v>62</v>
      </c>
      <c r="B21" s="56" t="s">
        <v>67</v>
      </c>
      <c r="C21" s="58"/>
      <c r="D21" s="50"/>
      <c r="E21" s="52" t="s">
        <v>43</v>
      </c>
      <c r="F21" s="51">
        <v>200</v>
      </c>
      <c r="G21" s="44"/>
      <c r="H21" s="95">
        <v>6.1500000000000001E-3</v>
      </c>
      <c r="I21" s="45">
        <v>23</v>
      </c>
      <c r="J21" s="47">
        <f t="shared" si="0"/>
        <v>0</v>
      </c>
      <c r="K21" s="47">
        <f t="shared" si="1"/>
        <v>0.01</v>
      </c>
      <c r="L21" s="47">
        <f t="shared" si="2"/>
        <v>1.23</v>
      </c>
      <c r="M21" s="47">
        <f t="shared" si="3"/>
        <v>0.28000000000000003</v>
      </c>
      <c r="N21" s="47">
        <f t="shared" si="4"/>
        <v>1.51</v>
      </c>
      <c r="O21" s="53"/>
      <c r="P21" s="65"/>
      <c r="Q21" s="66"/>
      <c r="R21" s="6"/>
    </row>
    <row r="22" spans="1:18" x14ac:dyDescent="0.35">
      <c r="A22" s="30" t="s">
        <v>63</v>
      </c>
      <c r="B22" s="56" t="s">
        <v>68</v>
      </c>
      <c r="C22" s="58"/>
      <c r="D22" s="50"/>
      <c r="E22" s="52" t="s">
        <v>43</v>
      </c>
      <c r="F22" s="51">
        <v>200</v>
      </c>
      <c r="G22" s="44"/>
      <c r="H22" s="95">
        <v>8.2500000000000004E-3</v>
      </c>
      <c r="I22" s="45">
        <v>23</v>
      </c>
      <c r="J22" s="47">
        <f t="shared" si="0"/>
        <v>0</v>
      </c>
      <c r="K22" s="47">
        <f t="shared" si="1"/>
        <v>0.01</v>
      </c>
      <c r="L22" s="47">
        <f t="shared" si="2"/>
        <v>1.65</v>
      </c>
      <c r="M22" s="47">
        <f t="shared" si="3"/>
        <v>0.38</v>
      </c>
      <c r="N22" s="47">
        <f t="shared" si="4"/>
        <v>2.0299999999999998</v>
      </c>
      <c r="O22" s="53"/>
      <c r="P22" s="65"/>
      <c r="Q22" s="66"/>
      <c r="R22" s="6"/>
    </row>
    <row r="23" spans="1:18" x14ac:dyDescent="0.35">
      <c r="A23" s="30" t="s">
        <v>64</v>
      </c>
      <c r="B23" s="56" t="s">
        <v>69</v>
      </c>
      <c r="C23" s="58"/>
      <c r="D23" s="50"/>
      <c r="E23" s="52" t="s">
        <v>43</v>
      </c>
      <c r="F23" s="51">
        <v>200</v>
      </c>
      <c r="G23" s="44"/>
      <c r="H23" s="95">
        <v>1.3650000000000001E-2</v>
      </c>
      <c r="I23" s="45">
        <v>23</v>
      </c>
      <c r="J23" s="47">
        <f t="shared" si="0"/>
        <v>0</v>
      </c>
      <c r="K23" s="47">
        <f t="shared" si="1"/>
        <v>0.01</v>
      </c>
      <c r="L23" s="47">
        <f t="shared" si="2"/>
        <v>2.73</v>
      </c>
      <c r="M23" s="47">
        <f t="shared" si="3"/>
        <v>0.63</v>
      </c>
      <c r="N23" s="47">
        <f t="shared" si="4"/>
        <v>3.36</v>
      </c>
      <c r="O23" s="53"/>
      <c r="P23" s="65"/>
      <c r="Q23" s="66"/>
      <c r="R23" s="6"/>
    </row>
    <row r="24" spans="1:18" x14ac:dyDescent="0.35">
      <c r="A24" s="30" t="s">
        <v>65</v>
      </c>
      <c r="B24" s="56" t="s">
        <v>70</v>
      </c>
      <c r="C24" s="58"/>
      <c r="D24" s="50"/>
      <c r="E24" s="52" t="s">
        <v>43</v>
      </c>
      <c r="F24" s="51">
        <v>200</v>
      </c>
      <c r="G24" s="44"/>
      <c r="H24" s="95">
        <v>2.5350000000000001E-2</v>
      </c>
      <c r="I24" s="45">
        <v>23</v>
      </c>
      <c r="J24" s="47">
        <f t="shared" si="0"/>
        <v>0.01</v>
      </c>
      <c r="K24" s="47">
        <f t="shared" si="1"/>
        <v>0.04</v>
      </c>
      <c r="L24" s="47">
        <f t="shared" si="2"/>
        <v>5.07</v>
      </c>
      <c r="M24" s="47">
        <f t="shared" si="3"/>
        <v>1.17</v>
      </c>
      <c r="N24" s="47">
        <f t="shared" si="4"/>
        <v>6.24</v>
      </c>
      <c r="O24" s="53"/>
      <c r="P24" s="65"/>
      <c r="Q24" s="66"/>
      <c r="R24" s="6"/>
    </row>
    <row r="25" spans="1:18" x14ac:dyDescent="0.35">
      <c r="A25" s="30">
        <v>13</v>
      </c>
      <c r="B25" s="56" t="s">
        <v>71</v>
      </c>
      <c r="C25" s="58"/>
      <c r="D25" s="50"/>
      <c r="E25" s="52" t="s">
        <v>43</v>
      </c>
      <c r="F25" s="51">
        <v>100</v>
      </c>
      <c r="G25" s="44"/>
      <c r="H25" s="95">
        <v>6.1499999999999999E-2</v>
      </c>
      <c r="I25" s="45">
        <v>23</v>
      </c>
      <c r="J25" s="47">
        <f t="shared" si="0"/>
        <v>0.01</v>
      </c>
      <c r="K25" s="47">
        <f t="shared" si="1"/>
        <v>7.0000000000000007E-2</v>
      </c>
      <c r="L25" s="47">
        <f t="shared" si="2"/>
        <v>6.15</v>
      </c>
      <c r="M25" s="47">
        <f t="shared" si="3"/>
        <v>1.41</v>
      </c>
      <c r="N25" s="47">
        <f t="shared" si="4"/>
        <v>7.56</v>
      </c>
      <c r="O25" s="53"/>
      <c r="P25" s="65"/>
      <c r="Q25" s="66"/>
      <c r="R25" s="6"/>
    </row>
    <row r="26" spans="1:18" x14ac:dyDescent="0.35">
      <c r="A26" s="30">
        <v>14</v>
      </c>
      <c r="B26" s="56" t="s">
        <v>72</v>
      </c>
      <c r="C26" s="58"/>
      <c r="D26" s="50"/>
      <c r="E26" s="52" t="s">
        <v>43</v>
      </c>
      <c r="F26" s="51">
        <v>100</v>
      </c>
      <c r="G26" s="44"/>
      <c r="H26" s="95">
        <v>8.5500000000000007E-2</v>
      </c>
      <c r="I26" s="45">
        <v>23</v>
      </c>
      <c r="J26" s="47">
        <f t="shared" si="0"/>
        <v>0.02</v>
      </c>
      <c r="K26" s="47">
        <f t="shared" si="1"/>
        <v>0.11</v>
      </c>
      <c r="L26" s="47">
        <f t="shared" si="2"/>
        <v>8.5500000000000007</v>
      </c>
      <c r="M26" s="47">
        <f t="shared" si="3"/>
        <v>1.97</v>
      </c>
      <c r="N26" s="47">
        <f t="shared" si="4"/>
        <v>10.52</v>
      </c>
      <c r="O26" s="53"/>
      <c r="P26" s="65"/>
      <c r="Q26" s="66"/>
      <c r="R26" s="6"/>
    </row>
    <row r="27" spans="1:18" x14ac:dyDescent="0.35">
      <c r="A27" s="30">
        <v>15</v>
      </c>
      <c r="B27" s="56" t="s">
        <v>129</v>
      </c>
      <c r="C27" s="58"/>
      <c r="D27" s="50"/>
      <c r="E27" s="52" t="s">
        <v>43</v>
      </c>
      <c r="F27" s="51">
        <v>200</v>
      </c>
      <c r="G27" s="44"/>
      <c r="H27" s="95">
        <v>1.4800000000000001E-2</v>
      </c>
      <c r="I27" s="45">
        <v>23</v>
      </c>
      <c r="J27" s="47">
        <f t="shared" si="0"/>
        <v>0</v>
      </c>
      <c r="K27" s="47">
        <f t="shared" si="1"/>
        <v>0.01</v>
      </c>
      <c r="L27" s="47">
        <f t="shared" si="2"/>
        <v>2.96</v>
      </c>
      <c r="M27" s="47">
        <f t="shared" si="3"/>
        <v>0.68</v>
      </c>
      <c r="N27" s="47">
        <f t="shared" si="4"/>
        <v>3.64</v>
      </c>
      <c r="O27" s="53"/>
      <c r="P27" s="65"/>
      <c r="Q27" s="66"/>
      <c r="R27" s="6"/>
    </row>
    <row r="28" spans="1:18" x14ac:dyDescent="0.35">
      <c r="A28" s="30">
        <v>16</v>
      </c>
      <c r="B28" s="56" t="s">
        <v>130</v>
      </c>
      <c r="C28" s="58"/>
      <c r="D28" s="61"/>
      <c r="E28" s="52" t="s">
        <v>43</v>
      </c>
      <c r="F28" s="51">
        <v>200</v>
      </c>
      <c r="G28" s="44"/>
      <c r="H28" s="95">
        <v>2.3220000000000001E-2</v>
      </c>
      <c r="I28" s="45">
        <v>23</v>
      </c>
      <c r="J28" s="47">
        <f t="shared" si="0"/>
        <v>0.01</v>
      </c>
      <c r="K28" s="47">
        <f t="shared" si="1"/>
        <v>0.03</v>
      </c>
      <c r="L28" s="47">
        <f t="shared" si="2"/>
        <v>4.6399999999999997</v>
      </c>
      <c r="M28" s="47">
        <f t="shared" si="3"/>
        <v>1.07</v>
      </c>
      <c r="N28" s="47">
        <f t="shared" si="4"/>
        <v>5.71</v>
      </c>
      <c r="O28" s="53"/>
      <c r="P28" s="65"/>
      <c r="Q28" s="66"/>
      <c r="R28" s="6"/>
    </row>
    <row r="29" spans="1:18" x14ac:dyDescent="0.35">
      <c r="A29" s="30">
        <v>17</v>
      </c>
      <c r="B29" s="56" t="s">
        <v>131</v>
      </c>
      <c r="C29" s="58"/>
      <c r="D29" s="50"/>
      <c r="E29" s="52" t="s">
        <v>43</v>
      </c>
      <c r="F29" s="51">
        <v>200</v>
      </c>
      <c r="G29" s="44"/>
      <c r="H29" s="95">
        <v>3.6900000000000002E-2</v>
      </c>
      <c r="I29" s="45">
        <v>23</v>
      </c>
      <c r="J29" s="47">
        <f t="shared" si="0"/>
        <v>0.01</v>
      </c>
      <c r="K29" s="47">
        <f t="shared" si="1"/>
        <v>0.05</v>
      </c>
      <c r="L29" s="47">
        <f t="shared" si="2"/>
        <v>7.38</v>
      </c>
      <c r="M29" s="47">
        <f t="shared" si="3"/>
        <v>1.7</v>
      </c>
      <c r="N29" s="47">
        <f t="shared" si="4"/>
        <v>9.08</v>
      </c>
      <c r="O29" s="53"/>
      <c r="P29" s="65"/>
      <c r="Q29" s="66"/>
      <c r="R29" s="6"/>
    </row>
    <row r="30" spans="1:18" x14ac:dyDescent="0.35">
      <c r="A30" s="30">
        <v>18</v>
      </c>
      <c r="B30" s="56" t="s">
        <v>132</v>
      </c>
      <c r="C30" s="58"/>
      <c r="D30" s="50"/>
      <c r="E30" s="52" t="s">
        <v>43</v>
      </c>
      <c r="F30" s="51">
        <v>200</v>
      </c>
      <c r="G30" s="44"/>
      <c r="H30" s="95">
        <v>7.3499999999999996E-2</v>
      </c>
      <c r="I30" s="45">
        <v>23</v>
      </c>
      <c r="J30" s="47">
        <f t="shared" si="0"/>
        <v>0.02</v>
      </c>
      <c r="K30" s="47">
        <f t="shared" si="1"/>
        <v>0.09</v>
      </c>
      <c r="L30" s="47">
        <f t="shared" si="2"/>
        <v>14.7</v>
      </c>
      <c r="M30" s="47">
        <f t="shared" si="3"/>
        <v>3.38</v>
      </c>
      <c r="N30" s="47">
        <f t="shared" si="4"/>
        <v>18.079999999999998</v>
      </c>
      <c r="O30" s="53"/>
      <c r="P30" s="65"/>
      <c r="Q30" s="66"/>
      <c r="R30" s="6"/>
    </row>
    <row r="31" spans="1:18" x14ac:dyDescent="0.35">
      <c r="A31" s="30">
        <v>19</v>
      </c>
      <c r="B31" s="56" t="s">
        <v>133</v>
      </c>
      <c r="C31" s="58"/>
      <c r="D31" s="61"/>
      <c r="E31" s="52" t="s">
        <v>43</v>
      </c>
      <c r="F31" s="51">
        <v>200</v>
      </c>
      <c r="G31" s="44"/>
      <c r="H31" s="95">
        <v>0.122</v>
      </c>
      <c r="I31" s="45">
        <v>23</v>
      </c>
      <c r="J31" s="47">
        <f t="shared" si="0"/>
        <v>0.03</v>
      </c>
      <c r="K31" s="47">
        <f t="shared" si="1"/>
        <v>0.15</v>
      </c>
      <c r="L31" s="47">
        <f t="shared" si="2"/>
        <v>24.4</v>
      </c>
      <c r="M31" s="47">
        <f t="shared" si="3"/>
        <v>5.61</v>
      </c>
      <c r="N31" s="47">
        <f t="shared" si="4"/>
        <v>30.01</v>
      </c>
      <c r="O31" s="53"/>
      <c r="P31" s="65"/>
      <c r="Q31" s="66"/>
      <c r="R31" s="6"/>
    </row>
    <row r="32" spans="1:18" x14ac:dyDescent="0.35">
      <c r="A32" s="30">
        <v>20</v>
      </c>
      <c r="B32" s="56" t="s">
        <v>134</v>
      </c>
      <c r="C32" s="58"/>
      <c r="D32" s="60"/>
      <c r="E32" s="52" t="s">
        <v>43</v>
      </c>
      <c r="F32" s="51">
        <v>100</v>
      </c>
      <c r="G32" s="44"/>
      <c r="H32" s="95">
        <v>0.2606</v>
      </c>
      <c r="I32" s="45">
        <v>23</v>
      </c>
      <c r="J32" s="47">
        <f t="shared" si="0"/>
        <v>0.06</v>
      </c>
      <c r="K32" s="47">
        <f t="shared" si="1"/>
        <v>0.32</v>
      </c>
      <c r="L32" s="47">
        <f t="shared" si="2"/>
        <v>26.06</v>
      </c>
      <c r="M32" s="47">
        <f t="shared" si="3"/>
        <v>5.99</v>
      </c>
      <c r="N32" s="47">
        <f t="shared" si="4"/>
        <v>32.049999999999997</v>
      </c>
      <c r="O32" s="53"/>
      <c r="P32" s="65"/>
      <c r="Q32" s="66"/>
      <c r="R32" s="6"/>
    </row>
    <row r="33" spans="1:18" x14ac:dyDescent="0.35">
      <c r="A33" s="30">
        <v>21</v>
      </c>
      <c r="B33" s="56" t="s">
        <v>135</v>
      </c>
      <c r="C33" s="58"/>
      <c r="D33" s="50"/>
      <c r="E33" s="52" t="s">
        <v>43</v>
      </c>
      <c r="F33" s="51">
        <v>100</v>
      </c>
      <c r="G33" s="44"/>
      <c r="H33" s="95">
        <v>0.40570000000000001</v>
      </c>
      <c r="I33" s="45">
        <v>23</v>
      </c>
      <c r="J33" s="47">
        <f t="shared" si="0"/>
        <v>0.09</v>
      </c>
      <c r="K33" s="47">
        <f t="shared" si="1"/>
        <v>0.5</v>
      </c>
      <c r="L33" s="47">
        <f t="shared" si="2"/>
        <v>40.57</v>
      </c>
      <c r="M33" s="47">
        <f t="shared" si="3"/>
        <v>9.33</v>
      </c>
      <c r="N33" s="47">
        <f t="shared" si="4"/>
        <v>49.9</v>
      </c>
      <c r="O33" s="53"/>
      <c r="P33" s="65"/>
      <c r="Q33" s="66"/>
      <c r="R33" s="6"/>
    </row>
    <row r="34" spans="1:18" x14ac:dyDescent="0.35">
      <c r="A34" s="30">
        <v>22</v>
      </c>
      <c r="B34" s="56" t="s">
        <v>101</v>
      </c>
      <c r="C34" s="58"/>
      <c r="D34" s="60"/>
      <c r="E34" s="52" t="s">
        <v>43</v>
      </c>
      <c r="F34" s="51">
        <v>200</v>
      </c>
      <c r="G34" s="44"/>
      <c r="H34" s="95">
        <v>2.844E-2</v>
      </c>
      <c r="I34" s="45">
        <v>23</v>
      </c>
      <c r="J34" s="47">
        <f t="shared" si="0"/>
        <v>0.01</v>
      </c>
      <c r="K34" s="47">
        <f t="shared" si="1"/>
        <v>0.04</v>
      </c>
      <c r="L34" s="47">
        <f t="shared" si="2"/>
        <v>5.69</v>
      </c>
      <c r="M34" s="47">
        <f t="shared" si="3"/>
        <v>1.31</v>
      </c>
      <c r="N34" s="47">
        <f t="shared" si="4"/>
        <v>7</v>
      </c>
      <c r="O34" s="53"/>
      <c r="P34" s="65"/>
      <c r="Q34" s="66"/>
      <c r="R34" s="6"/>
    </row>
    <row r="35" spans="1:18" x14ac:dyDescent="0.35">
      <c r="A35" s="30">
        <v>23</v>
      </c>
      <c r="B35" s="56" t="s">
        <v>102</v>
      </c>
      <c r="C35" s="58"/>
      <c r="D35" s="50"/>
      <c r="E35" s="52" t="s">
        <v>43</v>
      </c>
      <c r="F35" s="51">
        <v>200</v>
      </c>
      <c r="G35" s="44"/>
      <c r="H35" s="95">
        <v>3.5999999999999997E-2</v>
      </c>
      <c r="I35" s="45">
        <v>23</v>
      </c>
      <c r="J35" s="47">
        <f t="shared" si="0"/>
        <v>0.01</v>
      </c>
      <c r="K35" s="47">
        <f t="shared" si="1"/>
        <v>0.05</v>
      </c>
      <c r="L35" s="47">
        <f t="shared" si="2"/>
        <v>7.2</v>
      </c>
      <c r="M35" s="47">
        <f t="shared" si="3"/>
        <v>1.66</v>
      </c>
      <c r="N35" s="47">
        <f t="shared" si="4"/>
        <v>8.86</v>
      </c>
      <c r="O35" s="53"/>
      <c r="P35" s="65"/>
      <c r="Q35" s="66"/>
      <c r="R35" s="6"/>
    </row>
    <row r="36" spans="1:18" x14ac:dyDescent="0.35">
      <c r="A36" s="30">
        <v>24</v>
      </c>
      <c r="B36" s="56" t="s">
        <v>103</v>
      </c>
      <c r="C36" s="58"/>
      <c r="D36" s="50"/>
      <c r="E36" s="52" t="s">
        <v>43</v>
      </c>
      <c r="F36" s="51">
        <v>200</v>
      </c>
      <c r="G36" s="44"/>
      <c r="H36" s="95">
        <v>2.9000000000000001E-2</v>
      </c>
      <c r="I36" s="45">
        <v>23</v>
      </c>
      <c r="J36" s="47">
        <f t="shared" si="0"/>
        <v>0.01</v>
      </c>
      <c r="K36" s="47">
        <f t="shared" si="1"/>
        <v>0.04</v>
      </c>
      <c r="L36" s="47">
        <f t="shared" si="2"/>
        <v>5.8</v>
      </c>
      <c r="M36" s="47">
        <f t="shared" si="3"/>
        <v>1.33</v>
      </c>
      <c r="N36" s="47">
        <f t="shared" si="4"/>
        <v>7.13</v>
      </c>
      <c r="O36" s="53"/>
      <c r="P36" s="65"/>
      <c r="Q36" s="66"/>
      <c r="R36" s="6"/>
    </row>
    <row r="37" spans="1:18" x14ac:dyDescent="0.35">
      <c r="A37" s="30">
        <v>25</v>
      </c>
      <c r="B37" s="56" t="s">
        <v>104</v>
      </c>
      <c r="C37" s="58"/>
      <c r="D37" s="50"/>
      <c r="E37" s="52" t="s">
        <v>43</v>
      </c>
      <c r="F37" s="51">
        <v>200</v>
      </c>
      <c r="G37" s="44"/>
      <c r="H37" s="95">
        <v>3.3000000000000002E-2</v>
      </c>
      <c r="I37" s="45">
        <v>23</v>
      </c>
      <c r="J37" s="47">
        <f t="shared" si="0"/>
        <v>0.01</v>
      </c>
      <c r="K37" s="47">
        <f t="shared" si="1"/>
        <v>0.04</v>
      </c>
      <c r="L37" s="47">
        <f t="shared" si="2"/>
        <v>6.6</v>
      </c>
      <c r="M37" s="47">
        <f t="shared" si="3"/>
        <v>1.52</v>
      </c>
      <c r="N37" s="47">
        <f t="shared" si="4"/>
        <v>8.1199999999999992</v>
      </c>
      <c r="O37" s="53"/>
      <c r="P37" s="65"/>
      <c r="Q37" s="66"/>
      <c r="R37" s="6"/>
    </row>
    <row r="38" spans="1:18" x14ac:dyDescent="0.35">
      <c r="A38" s="30">
        <v>26</v>
      </c>
      <c r="B38" s="56" t="s">
        <v>105</v>
      </c>
      <c r="C38" s="58"/>
      <c r="D38" s="50"/>
      <c r="E38" s="52" t="s">
        <v>43</v>
      </c>
      <c r="F38" s="51">
        <v>200</v>
      </c>
      <c r="G38" s="44"/>
      <c r="H38" s="95">
        <v>5.6500000000000002E-2</v>
      </c>
      <c r="I38" s="45">
        <v>23</v>
      </c>
      <c r="J38" s="47">
        <f t="shared" si="0"/>
        <v>0.01</v>
      </c>
      <c r="K38" s="47">
        <f t="shared" si="1"/>
        <v>7.0000000000000007E-2</v>
      </c>
      <c r="L38" s="47">
        <f t="shared" si="2"/>
        <v>11.3</v>
      </c>
      <c r="M38" s="47">
        <f t="shared" si="3"/>
        <v>2.6</v>
      </c>
      <c r="N38" s="47">
        <f t="shared" si="4"/>
        <v>13.9</v>
      </c>
      <c r="O38" s="53"/>
      <c r="P38" s="65"/>
      <c r="Q38" s="66"/>
      <c r="R38" s="6"/>
    </row>
    <row r="39" spans="1:18" ht="16.5" customHeight="1" x14ac:dyDescent="0.35">
      <c r="A39" s="30">
        <v>27</v>
      </c>
      <c r="B39" s="56" t="s">
        <v>106</v>
      </c>
      <c r="C39" s="58"/>
      <c r="D39" s="50"/>
      <c r="E39" s="52" t="s">
        <v>43</v>
      </c>
      <c r="F39" s="51">
        <v>100</v>
      </c>
      <c r="G39" s="44"/>
      <c r="H39" s="95">
        <v>8.6760000000000004E-2</v>
      </c>
      <c r="I39" s="45">
        <v>23</v>
      </c>
      <c r="J39" s="47">
        <f t="shared" si="0"/>
        <v>0.02</v>
      </c>
      <c r="K39" s="47">
        <f t="shared" si="1"/>
        <v>0.11</v>
      </c>
      <c r="L39" s="47">
        <f t="shared" si="2"/>
        <v>8.68</v>
      </c>
      <c r="M39" s="47">
        <f t="shared" si="3"/>
        <v>2</v>
      </c>
      <c r="N39" s="47">
        <f t="shared" si="4"/>
        <v>10.68</v>
      </c>
      <c r="O39" s="53"/>
      <c r="P39" s="65"/>
      <c r="Q39" s="66"/>
      <c r="R39" s="6"/>
    </row>
    <row r="40" spans="1:18" x14ac:dyDescent="0.35">
      <c r="A40" s="30">
        <v>28</v>
      </c>
      <c r="B40" s="56" t="s">
        <v>107</v>
      </c>
      <c r="C40" s="58"/>
      <c r="D40" s="50"/>
      <c r="E40" s="52" t="s">
        <v>43</v>
      </c>
      <c r="F40" s="51">
        <v>100</v>
      </c>
      <c r="G40" s="44"/>
      <c r="H40" s="95">
        <v>0.11600000000000001</v>
      </c>
      <c r="I40" s="45">
        <v>23</v>
      </c>
      <c r="J40" s="47">
        <f t="shared" si="0"/>
        <v>0.03</v>
      </c>
      <c r="K40" s="47">
        <f t="shared" si="1"/>
        <v>0.15</v>
      </c>
      <c r="L40" s="47">
        <f t="shared" si="2"/>
        <v>11.6</v>
      </c>
      <c r="M40" s="47">
        <f t="shared" si="3"/>
        <v>2.67</v>
      </c>
      <c r="N40" s="47">
        <f t="shared" si="4"/>
        <v>14.27</v>
      </c>
      <c r="O40" s="53"/>
      <c r="P40" s="65"/>
      <c r="Q40" s="66"/>
      <c r="R40" s="6"/>
    </row>
    <row r="41" spans="1:18" x14ac:dyDescent="0.35">
      <c r="A41" s="30">
        <v>29</v>
      </c>
      <c r="B41" s="56" t="s">
        <v>136</v>
      </c>
      <c r="C41" s="58"/>
      <c r="D41" s="57"/>
      <c r="E41" s="52" t="s">
        <v>43</v>
      </c>
      <c r="F41" s="51">
        <v>200</v>
      </c>
      <c r="G41" s="44"/>
      <c r="H41" s="95">
        <v>2.1999999999999999E-2</v>
      </c>
      <c r="I41" s="45">
        <v>23</v>
      </c>
      <c r="J41" s="47">
        <f t="shared" si="0"/>
        <v>0.01</v>
      </c>
      <c r="K41" s="47">
        <f t="shared" si="1"/>
        <v>0.03</v>
      </c>
      <c r="L41" s="47">
        <f t="shared" si="2"/>
        <v>4.4000000000000004</v>
      </c>
      <c r="M41" s="47">
        <f t="shared" si="3"/>
        <v>1.01</v>
      </c>
      <c r="N41" s="47">
        <f t="shared" si="4"/>
        <v>5.41</v>
      </c>
      <c r="O41" s="53"/>
      <c r="P41" s="65"/>
      <c r="Q41" s="66"/>
      <c r="R41" s="6"/>
    </row>
    <row r="42" spans="1:18" x14ac:dyDescent="0.35">
      <c r="A42" s="30">
        <v>30</v>
      </c>
      <c r="B42" s="56" t="s">
        <v>138</v>
      </c>
      <c r="C42" s="58"/>
      <c r="D42" s="50"/>
      <c r="E42" s="52" t="s">
        <v>43</v>
      </c>
      <c r="F42" s="51">
        <v>200</v>
      </c>
      <c r="G42" s="44"/>
      <c r="H42" s="95">
        <v>2.3E-2</v>
      </c>
      <c r="I42" s="45">
        <v>23</v>
      </c>
      <c r="J42" s="47">
        <f t="shared" si="0"/>
        <v>0.01</v>
      </c>
      <c r="K42" s="47">
        <f t="shared" si="1"/>
        <v>0.03</v>
      </c>
      <c r="L42" s="47">
        <f t="shared" si="2"/>
        <v>4.5999999999999996</v>
      </c>
      <c r="M42" s="47">
        <f t="shared" si="3"/>
        <v>1.06</v>
      </c>
      <c r="N42" s="47">
        <f t="shared" si="4"/>
        <v>5.66</v>
      </c>
      <c r="O42" s="53"/>
      <c r="P42" s="65"/>
      <c r="Q42" s="66"/>
      <c r="R42" s="6"/>
    </row>
    <row r="43" spans="1:18" x14ac:dyDescent="0.35">
      <c r="A43" s="30">
        <v>31</v>
      </c>
      <c r="B43" s="56" t="s">
        <v>139</v>
      </c>
      <c r="C43" s="58"/>
      <c r="D43" s="50"/>
      <c r="E43" s="52" t="s">
        <v>43</v>
      </c>
      <c r="F43" s="51">
        <v>200</v>
      </c>
      <c r="G43" s="44"/>
      <c r="H43" s="95">
        <v>2.9000000000000001E-2</v>
      </c>
      <c r="I43" s="45">
        <v>23</v>
      </c>
      <c r="J43" s="47">
        <f t="shared" si="0"/>
        <v>0.01</v>
      </c>
      <c r="K43" s="47">
        <f t="shared" si="1"/>
        <v>0.04</v>
      </c>
      <c r="L43" s="47">
        <f t="shared" si="2"/>
        <v>5.8</v>
      </c>
      <c r="M43" s="47">
        <f t="shared" si="3"/>
        <v>1.33</v>
      </c>
      <c r="N43" s="47">
        <f t="shared" si="4"/>
        <v>7.13</v>
      </c>
      <c r="O43" s="53"/>
      <c r="P43" s="65"/>
      <c r="Q43" s="66"/>
      <c r="R43" s="6"/>
    </row>
    <row r="44" spans="1:18" x14ac:dyDescent="0.35">
      <c r="A44" s="30">
        <v>32</v>
      </c>
      <c r="B44" s="56" t="s">
        <v>140</v>
      </c>
      <c r="C44" s="58"/>
      <c r="D44" s="61"/>
      <c r="E44" s="52" t="s">
        <v>43</v>
      </c>
      <c r="F44" s="51">
        <v>200</v>
      </c>
      <c r="G44" s="44"/>
      <c r="H44" s="95">
        <v>3.7999999999999999E-2</v>
      </c>
      <c r="I44" s="45">
        <v>23</v>
      </c>
      <c r="J44" s="47">
        <f t="shared" si="0"/>
        <v>0.01</v>
      </c>
      <c r="K44" s="47">
        <f t="shared" si="1"/>
        <v>0.05</v>
      </c>
      <c r="L44" s="47">
        <f t="shared" si="2"/>
        <v>7.6</v>
      </c>
      <c r="M44" s="47">
        <f t="shared" si="3"/>
        <v>1.75</v>
      </c>
      <c r="N44" s="47">
        <f t="shared" si="4"/>
        <v>9.35</v>
      </c>
      <c r="O44" s="53"/>
      <c r="P44" s="65"/>
      <c r="Q44" s="66"/>
      <c r="R44" s="6"/>
    </row>
    <row r="45" spans="1:18" x14ac:dyDescent="0.35">
      <c r="A45" s="30">
        <v>33</v>
      </c>
      <c r="B45" s="56" t="s">
        <v>141</v>
      </c>
      <c r="C45" s="58"/>
      <c r="D45" s="50"/>
      <c r="E45" s="52" t="s">
        <v>43</v>
      </c>
      <c r="F45" s="51">
        <v>200</v>
      </c>
      <c r="G45" s="44"/>
      <c r="H45" s="95">
        <v>4.3900000000000002E-2</v>
      </c>
      <c r="I45" s="45">
        <v>23</v>
      </c>
      <c r="J45" s="47">
        <f t="shared" si="0"/>
        <v>0.01</v>
      </c>
      <c r="K45" s="47">
        <f t="shared" si="1"/>
        <v>0.05</v>
      </c>
      <c r="L45" s="47">
        <f t="shared" si="2"/>
        <v>8.7799999999999994</v>
      </c>
      <c r="M45" s="47">
        <f t="shared" si="3"/>
        <v>2.02</v>
      </c>
      <c r="N45" s="47">
        <f t="shared" si="4"/>
        <v>10.8</v>
      </c>
      <c r="O45" s="53"/>
      <c r="P45" s="65"/>
      <c r="Q45" s="66"/>
      <c r="R45" s="6"/>
    </row>
    <row r="46" spans="1:18" x14ac:dyDescent="0.35">
      <c r="A46" s="30">
        <v>34</v>
      </c>
      <c r="B46" s="56" t="s">
        <v>142</v>
      </c>
      <c r="C46" s="58"/>
      <c r="D46" s="50"/>
      <c r="E46" s="52" t="s">
        <v>43</v>
      </c>
      <c r="F46" s="51">
        <v>100</v>
      </c>
      <c r="G46" s="44"/>
      <c r="H46" s="95">
        <v>5.7299999999999997E-2</v>
      </c>
      <c r="I46" s="45">
        <v>23</v>
      </c>
      <c r="J46" s="47">
        <f t="shared" si="0"/>
        <v>0.01</v>
      </c>
      <c r="K46" s="47">
        <f t="shared" si="1"/>
        <v>7.0000000000000007E-2</v>
      </c>
      <c r="L46" s="47">
        <f t="shared" si="2"/>
        <v>5.73</v>
      </c>
      <c r="M46" s="47">
        <f t="shared" si="3"/>
        <v>1.32</v>
      </c>
      <c r="N46" s="47">
        <f t="shared" si="4"/>
        <v>7.05</v>
      </c>
      <c r="O46" s="53"/>
      <c r="P46" s="65"/>
      <c r="Q46" s="66"/>
      <c r="R46" s="6"/>
    </row>
    <row r="47" spans="1:18" x14ac:dyDescent="0.35">
      <c r="A47" s="30">
        <v>35</v>
      </c>
      <c r="B47" s="56" t="s">
        <v>143</v>
      </c>
      <c r="C47" s="58"/>
      <c r="D47" s="50"/>
      <c r="E47" s="52" t="s">
        <v>43</v>
      </c>
      <c r="F47" s="51">
        <v>100</v>
      </c>
      <c r="G47" s="44"/>
      <c r="H47" s="95">
        <v>7.8399999999999997E-2</v>
      </c>
      <c r="I47" s="45">
        <v>23</v>
      </c>
      <c r="J47" s="47">
        <f t="shared" si="0"/>
        <v>0.02</v>
      </c>
      <c r="K47" s="47">
        <f t="shared" si="1"/>
        <v>0.1</v>
      </c>
      <c r="L47" s="47">
        <f t="shared" si="2"/>
        <v>7.84</v>
      </c>
      <c r="M47" s="47">
        <f t="shared" si="3"/>
        <v>1.8</v>
      </c>
      <c r="N47" s="47">
        <f t="shared" si="4"/>
        <v>9.64</v>
      </c>
      <c r="O47" s="53"/>
      <c r="P47" s="65"/>
      <c r="Q47" s="66"/>
      <c r="R47" s="6"/>
    </row>
    <row r="48" spans="1:18" x14ac:dyDescent="0.35">
      <c r="A48" s="30">
        <v>36</v>
      </c>
      <c r="B48" s="56" t="s">
        <v>73</v>
      </c>
      <c r="C48" s="58"/>
      <c r="D48" s="50"/>
      <c r="E48" s="52" t="s">
        <v>43</v>
      </c>
      <c r="F48" s="51">
        <v>200</v>
      </c>
      <c r="G48" s="44"/>
      <c r="H48" s="95">
        <v>2.8500000000000001E-2</v>
      </c>
      <c r="I48" s="45">
        <v>23</v>
      </c>
      <c r="J48" s="47">
        <f t="shared" si="0"/>
        <v>0.01</v>
      </c>
      <c r="K48" s="47">
        <f t="shared" si="1"/>
        <v>0.04</v>
      </c>
      <c r="L48" s="47">
        <f t="shared" si="2"/>
        <v>5.7</v>
      </c>
      <c r="M48" s="47">
        <f t="shared" si="3"/>
        <v>1.31</v>
      </c>
      <c r="N48" s="47">
        <f t="shared" si="4"/>
        <v>7.01</v>
      </c>
      <c r="O48" s="53"/>
      <c r="P48" s="65"/>
      <c r="Q48" s="66"/>
      <c r="R48" s="6"/>
    </row>
    <row r="49" spans="1:18" x14ac:dyDescent="0.35">
      <c r="A49" s="30">
        <v>37</v>
      </c>
      <c r="B49" s="56" t="s">
        <v>74</v>
      </c>
      <c r="C49" s="58"/>
      <c r="D49" s="61"/>
      <c r="E49" s="52" t="s">
        <v>43</v>
      </c>
      <c r="F49" s="51">
        <v>200</v>
      </c>
      <c r="G49" s="44"/>
      <c r="H49" s="95">
        <v>3.5999999999999997E-2</v>
      </c>
      <c r="I49" s="45">
        <v>23</v>
      </c>
      <c r="J49" s="47">
        <f t="shared" si="0"/>
        <v>0.01</v>
      </c>
      <c r="K49" s="47">
        <f t="shared" si="1"/>
        <v>0.05</v>
      </c>
      <c r="L49" s="47">
        <f t="shared" si="2"/>
        <v>7.2</v>
      </c>
      <c r="M49" s="47">
        <f t="shared" si="3"/>
        <v>1.66</v>
      </c>
      <c r="N49" s="47">
        <f t="shared" si="4"/>
        <v>8.86</v>
      </c>
      <c r="O49" s="53"/>
      <c r="P49" s="65"/>
      <c r="Q49" s="66"/>
      <c r="R49" s="6"/>
    </row>
    <row r="50" spans="1:18" x14ac:dyDescent="0.35">
      <c r="A50" s="30">
        <v>38</v>
      </c>
      <c r="B50" s="56" t="s">
        <v>75</v>
      </c>
      <c r="C50" s="58"/>
      <c r="D50" s="50"/>
      <c r="E50" s="52" t="s">
        <v>43</v>
      </c>
      <c r="F50" s="51">
        <v>200</v>
      </c>
      <c r="G50" s="44"/>
      <c r="H50" s="95">
        <v>2.9000000000000001E-2</v>
      </c>
      <c r="I50" s="45">
        <v>23</v>
      </c>
      <c r="J50" s="47">
        <f t="shared" si="0"/>
        <v>0.01</v>
      </c>
      <c r="K50" s="47">
        <f t="shared" si="1"/>
        <v>0.04</v>
      </c>
      <c r="L50" s="47">
        <f t="shared" si="2"/>
        <v>5.8</v>
      </c>
      <c r="M50" s="47">
        <f t="shared" si="3"/>
        <v>1.33</v>
      </c>
      <c r="N50" s="47">
        <f t="shared" si="4"/>
        <v>7.13</v>
      </c>
      <c r="O50" s="53"/>
      <c r="P50" s="65"/>
      <c r="Q50" s="66"/>
      <c r="R50" s="6"/>
    </row>
    <row r="51" spans="1:18" x14ac:dyDescent="0.35">
      <c r="A51" s="30">
        <v>39</v>
      </c>
      <c r="B51" s="56" t="s">
        <v>76</v>
      </c>
      <c r="C51" s="58"/>
      <c r="D51" s="50"/>
      <c r="E51" s="52" t="s">
        <v>43</v>
      </c>
      <c r="F51" s="51">
        <v>200</v>
      </c>
      <c r="G51" s="44"/>
      <c r="H51" s="95">
        <v>3.3000000000000002E-2</v>
      </c>
      <c r="I51" s="45">
        <v>23</v>
      </c>
      <c r="J51" s="47">
        <f t="shared" si="0"/>
        <v>0.01</v>
      </c>
      <c r="K51" s="47">
        <f t="shared" si="1"/>
        <v>0.04</v>
      </c>
      <c r="L51" s="47">
        <f t="shared" si="2"/>
        <v>6.6</v>
      </c>
      <c r="M51" s="47">
        <f t="shared" si="3"/>
        <v>1.52</v>
      </c>
      <c r="N51" s="47">
        <f t="shared" si="4"/>
        <v>8.1199999999999992</v>
      </c>
      <c r="O51" s="53"/>
      <c r="P51" s="65"/>
      <c r="Q51" s="66"/>
      <c r="R51" s="6"/>
    </row>
    <row r="52" spans="1:18" x14ac:dyDescent="0.35">
      <c r="A52" s="30">
        <v>40</v>
      </c>
      <c r="B52" s="56" t="s">
        <v>77</v>
      </c>
      <c r="C52" s="58"/>
      <c r="D52" s="50"/>
      <c r="E52" s="52" t="s">
        <v>43</v>
      </c>
      <c r="F52" s="51">
        <v>200</v>
      </c>
      <c r="G52" s="44"/>
      <c r="H52" s="95">
        <v>5.6500000000000002E-2</v>
      </c>
      <c r="I52" s="45">
        <v>23</v>
      </c>
      <c r="J52" s="47">
        <f t="shared" si="0"/>
        <v>0.01</v>
      </c>
      <c r="K52" s="47">
        <f t="shared" si="1"/>
        <v>7.0000000000000007E-2</v>
      </c>
      <c r="L52" s="47">
        <f t="shared" si="2"/>
        <v>11.3</v>
      </c>
      <c r="M52" s="47">
        <f t="shared" si="3"/>
        <v>2.6</v>
      </c>
      <c r="N52" s="47">
        <f t="shared" si="4"/>
        <v>13.9</v>
      </c>
      <c r="O52" s="53"/>
      <c r="P52" s="65"/>
      <c r="Q52" s="66"/>
      <c r="R52" s="6"/>
    </row>
    <row r="53" spans="1:18" x14ac:dyDescent="0.35">
      <c r="A53" s="30">
        <v>41</v>
      </c>
      <c r="B53" s="56" t="s">
        <v>78</v>
      </c>
      <c r="C53" s="58"/>
      <c r="D53" s="50"/>
      <c r="E53" s="52" t="s">
        <v>43</v>
      </c>
      <c r="F53" s="51">
        <v>100</v>
      </c>
      <c r="G53" s="44"/>
      <c r="H53" s="95">
        <v>8.6999999999999994E-2</v>
      </c>
      <c r="I53" s="45">
        <v>23</v>
      </c>
      <c r="J53" s="47">
        <f t="shared" si="0"/>
        <v>0.02</v>
      </c>
      <c r="K53" s="47">
        <f t="shared" si="1"/>
        <v>0.11</v>
      </c>
      <c r="L53" s="47">
        <f t="shared" si="2"/>
        <v>8.6999999999999993</v>
      </c>
      <c r="M53" s="47">
        <f t="shared" si="3"/>
        <v>2</v>
      </c>
      <c r="N53" s="47">
        <f t="shared" si="4"/>
        <v>10.7</v>
      </c>
      <c r="O53" s="53"/>
      <c r="P53" s="65"/>
      <c r="Q53" s="66"/>
      <c r="R53" s="6"/>
    </row>
    <row r="54" spans="1:18" x14ac:dyDescent="0.35">
      <c r="A54" s="30">
        <v>42</v>
      </c>
      <c r="B54" s="56" t="s">
        <v>79</v>
      </c>
      <c r="C54" s="58"/>
      <c r="D54" s="50"/>
      <c r="E54" s="52" t="s">
        <v>43</v>
      </c>
      <c r="F54" s="51">
        <v>100</v>
      </c>
      <c r="G54" s="44"/>
      <c r="H54" s="95">
        <v>0.11600000000000001</v>
      </c>
      <c r="I54" s="45">
        <v>23</v>
      </c>
      <c r="J54" s="47">
        <f t="shared" si="0"/>
        <v>0.03</v>
      </c>
      <c r="K54" s="47">
        <f t="shared" si="1"/>
        <v>0.15</v>
      </c>
      <c r="L54" s="47">
        <f t="shared" si="2"/>
        <v>11.6</v>
      </c>
      <c r="M54" s="47">
        <f t="shared" si="3"/>
        <v>2.67</v>
      </c>
      <c r="N54" s="47">
        <f t="shared" si="4"/>
        <v>14.27</v>
      </c>
      <c r="O54" s="53"/>
      <c r="P54" s="65"/>
      <c r="Q54" s="66"/>
      <c r="R54" s="6"/>
    </row>
    <row r="55" spans="1:18" x14ac:dyDescent="0.35">
      <c r="A55" s="30">
        <v>43</v>
      </c>
      <c r="B55" s="62" t="s">
        <v>80</v>
      </c>
      <c r="C55" s="58"/>
      <c r="D55" s="50"/>
      <c r="E55" s="52" t="s">
        <v>43</v>
      </c>
      <c r="F55" s="51">
        <v>200</v>
      </c>
      <c r="G55" s="44"/>
      <c r="H55" s="95">
        <v>2E-3</v>
      </c>
      <c r="I55" s="45">
        <v>23</v>
      </c>
      <c r="J55" s="47">
        <f t="shared" si="0"/>
        <v>0</v>
      </c>
      <c r="K55" s="47">
        <f t="shared" si="1"/>
        <v>0</v>
      </c>
      <c r="L55" s="47">
        <f t="shared" si="2"/>
        <v>0.4</v>
      </c>
      <c r="M55" s="47">
        <f t="shared" si="3"/>
        <v>0.09</v>
      </c>
      <c r="N55" s="47">
        <f t="shared" si="4"/>
        <v>0.49</v>
      </c>
      <c r="O55" s="53"/>
      <c r="P55" s="65"/>
      <c r="Q55" s="66"/>
      <c r="R55" s="6"/>
    </row>
    <row r="56" spans="1:18" x14ac:dyDescent="0.35">
      <c r="A56" s="30">
        <v>44</v>
      </c>
      <c r="B56" s="62" t="s">
        <v>81</v>
      </c>
      <c r="C56" s="58"/>
      <c r="D56" s="50"/>
      <c r="E56" s="52" t="s">
        <v>43</v>
      </c>
      <c r="F56" s="51">
        <v>200</v>
      </c>
      <c r="G56" s="44"/>
      <c r="H56" s="95">
        <v>3.5000000000000001E-3</v>
      </c>
      <c r="I56" s="45">
        <v>23</v>
      </c>
      <c r="J56" s="47">
        <f t="shared" si="0"/>
        <v>0</v>
      </c>
      <c r="K56" s="47">
        <f t="shared" si="1"/>
        <v>0</v>
      </c>
      <c r="L56" s="47">
        <f t="shared" si="2"/>
        <v>0.7</v>
      </c>
      <c r="M56" s="47">
        <f t="shared" si="3"/>
        <v>0.16</v>
      </c>
      <c r="N56" s="47">
        <f t="shared" si="4"/>
        <v>0.86</v>
      </c>
      <c r="O56" s="53"/>
      <c r="P56" s="65"/>
      <c r="Q56" s="66"/>
      <c r="R56" s="6"/>
    </row>
    <row r="57" spans="1:18" x14ac:dyDescent="0.35">
      <c r="A57" s="30">
        <v>45</v>
      </c>
      <c r="B57" s="62" t="s">
        <v>82</v>
      </c>
      <c r="C57" s="58"/>
      <c r="D57" s="50"/>
      <c r="E57" s="52" t="s">
        <v>43</v>
      </c>
      <c r="F57" s="51">
        <v>200</v>
      </c>
      <c r="G57" s="44"/>
      <c r="H57" s="95">
        <v>3.5000000000000001E-3</v>
      </c>
      <c r="I57" s="45">
        <v>23</v>
      </c>
      <c r="J57" s="47">
        <f t="shared" si="0"/>
        <v>0</v>
      </c>
      <c r="K57" s="47">
        <f t="shared" si="1"/>
        <v>0</v>
      </c>
      <c r="L57" s="47">
        <f t="shared" si="2"/>
        <v>0.7</v>
      </c>
      <c r="M57" s="47">
        <f t="shared" si="3"/>
        <v>0.16</v>
      </c>
      <c r="N57" s="47">
        <f t="shared" si="4"/>
        <v>0.86</v>
      </c>
      <c r="O57" s="53"/>
      <c r="P57" s="65"/>
      <c r="Q57" s="66"/>
      <c r="R57" s="6"/>
    </row>
    <row r="58" spans="1:18" x14ac:dyDescent="0.35">
      <c r="A58" s="30">
        <v>46</v>
      </c>
      <c r="B58" s="62" t="s">
        <v>83</v>
      </c>
      <c r="C58" s="58"/>
      <c r="D58" s="60"/>
      <c r="E58" s="52" t="s">
        <v>43</v>
      </c>
      <c r="F58" s="51">
        <v>200</v>
      </c>
      <c r="G58" s="44"/>
      <c r="H58" s="95">
        <v>7.7999999999999996E-3</v>
      </c>
      <c r="I58" s="45">
        <v>23</v>
      </c>
      <c r="J58" s="47">
        <f t="shared" si="0"/>
        <v>0</v>
      </c>
      <c r="K58" s="47">
        <f t="shared" si="1"/>
        <v>0.01</v>
      </c>
      <c r="L58" s="47">
        <f t="shared" si="2"/>
        <v>1.56</v>
      </c>
      <c r="M58" s="47">
        <f t="shared" si="3"/>
        <v>0.36</v>
      </c>
      <c r="N58" s="47">
        <f t="shared" si="4"/>
        <v>1.92</v>
      </c>
      <c r="O58" s="53"/>
      <c r="P58" s="65"/>
      <c r="Q58" s="66"/>
      <c r="R58" s="6"/>
    </row>
    <row r="59" spans="1:18" x14ac:dyDescent="0.35">
      <c r="A59" s="30">
        <v>47</v>
      </c>
      <c r="B59" s="62" t="s">
        <v>84</v>
      </c>
      <c r="C59" s="58"/>
      <c r="D59" s="50"/>
      <c r="E59" s="52" t="s">
        <v>43</v>
      </c>
      <c r="F59" s="51">
        <v>200</v>
      </c>
      <c r="G59" s="44"/>
      <c r="H59" s="95">
        <v>1.35E-2</v>
      </c>
      <c r="I59" s="45">
        <v>23</v>
      </c>
      <c r="J59" s="47">
        <f t="shared" si="0"/>
        <v>0</v>
      </c>
      <c r="K59" s="47">
        <f t="shared" si="1"/>
        <v>0.01</v>
      </c>
      <c r="L59" s="47">
        <f t="shared" si="2"/>
        <v>2.7</v>
      </c>
      <c r="M59" s="47">
        <f t="shared" si="3"/>
        <v>0.62</v>
      </c>
      <c r="N59" s="47">
        <f t="shared" si="4"/>
        <v>3.32</v>
      </c>
      <c r="O59" s="53"/>
      <c r="P59" s="65"/>
      <c r="Q59" s="66"/>
      <c r="R59" s="6"/>
    </row>
    <row r="60" spans="1:18" x14ac:dyDescent="0.35">
      <c r="A60" s="30">
        <v>48</v>
      </c>
      <c r="B60" s="62" t="s">
        <v>85</v>
      </c>
      <c r="C60" s="58"/>
      <c r="D60" s="50"/>
      <c r="E60" s="52" t="s">
        <v>43</v>
      </c>
      <c r="F60" s="51">
        <v>100</v>
      </c>
      <c r="G60" s="44"/>
      <c r="H60" s="95">
        <v>2.69E-2</v>
      </c>
      <c r="I60" s="45">
        <v>23</v>
      </c>
      <c r="J60" s="47">
        <f t="shared" si="0"/>
        <v>0.01</v>
      </c>
      <c r="K60" s="47">
        <f t="shared" si="1"/>
        <v>0.04</v>
      </c>
      <c r="L60" s="47">
        <f t="shared" si="2"/>
        <v>2.69</v>
      </c>
      <c r="M60" s="47">
        <f t="shared" si="3"/>
        <v>0.62</v>
      </c>
      <c r="N60" s="47">
        <f t="shared" si="4"/>
        <v>3.31</v>
      </c>
      <c r="O60" s="53"/>
      <c r="P60" s="65"/>
      <c r="Q60" s="66"/>
      <c r="R60" s="6"/>
    </row>
    <row r="61" spans="1:18" x14ac:dyDescent="0.35">
      <c r="A61" s="30">
        <v>49</v>
      </c>
      <c r="B61" s="62" t="s">
        <v>86</v>
      </c>
      <c r="C61" s="58"/>
      <c r="D61" s="50"/>
      <c r="E61" s="52" t="s">
        <v>43</v>
      </c>
      <c r="F61" s="51">
        <v>100</v>
      </c>
      <c r="G61" s="44"/>
      <c r="H61" s="95">
        <v>4.4299999999999999E-2</v>
      </c>
      <c r="I61" s="45">
        <v>23</v>
      </c>
      <c r="J61" s="47">
        <f t="shared" si="0"/>
        <v>0.01</v>
      </c>
      <c r="K61" s="47">
        <f t="shared" si="1"/>
        <v>0.05</v>
      </c>
      <c r="L61" s="47">
        <f t="shared" si="2"/>
        <v>4.43</v>
      </c>
      <c r="M61" s="47">
        <f t="shared" si="3"/>
        <v>1.02</v>
      </c>
      <c r="N61" s="47">
        <f t="shared" si="4"/>
        <v>5.45</v>
      </c>
      <c r="O61" s="53"/>
      <c r="P61" s="65"/>
      <c r="Q61" s="66"/>
      <c r="R61" s="6"/>
    </row>
    <row r="62" spans="1:18" x14ac:dyDescent="0.35">
      <c r="A62" s="30">
        <v>50</v>
      </c>
      <c r="B62" s="56" t="s">
        <v>87</v>
      </c>
      <c r="C62" s="58"/>
      <c r="D62" s="57"/>
      <c r="E62" s="52" t="s">
        <v>43</v>
      </c>
      <c r="F62" s="51">
        <v>200</v>
      </c>
      <c r="G62" s="44"/>
      <c r="H62" s="95">
        <v>7.7999999999999996E-3</v>
      </c>
      <c r="I62" s="45">
        <v>23</v>
      </c>
      <c r="J62" s="47">
        <f t="shared" si="0"/>
        <v>0</v>
      </c>
      <c r="K62" s="47">
        <f t="shared" si="1"/>
        <v>0.01</v>
      </c>
      <c r="L62" s="47">
        <f t="shared" si="2"/>
        <v>1.56</v>
      </c>
      <c r="M62" s="47">
        <f t="shared" si="3"/>
        <v>0.36</v>
      </c>
      <c r="N62" s="47">
        <f t="shared" si="4"/>
        <v>1.92</v>
      </c>
      <c r="O62" s="53"/>
      <c r="P62" s="65"/>
      <c r="Q62" s="66"/>
      <c r="R62" s="6"/>
    </row>
    <row r="63" spans="1:18" x14ac:dyDescent="0.35">
      <c r="A63" s="30">
        <v>51</v>
      </c>
      <c r="B63" s="56" t="s">
        <v>88</v>
      </c>
      <c r="C63" s="58"/>
      <c r="D63" s="57"/>
      <c r="E63" s="52" t="s">
        <v>43</v>
      </c>
      <c r="F63" s="51">
        <v>200</v>
      </c>
      <c r="G63" s="44"/>
      <c r="H63" s="95">
        <v>1.2200000000000001E-2</v>
      </c>
      <c r="I63" s="45">
        <v>23</v>
      </c>
      <c r="J63" s="47">
        <f t="shared" si="0"/>
        <v>0</v>
      </c>
      <c r="K63" s="47">
        <f t="shared" si="1"/>
        <v>0.01</v>
      </c>
      <c r="L63" s="47">
        <f t="shared" si="2"/>
        <v>2.44</v>
      </c>
      <c r="M63" s="47">
        <f t="shared" si="3"/>
        <v>0.56000000000000005</v>
      </c>
      <c r="N63" s="47">
        <f t="shared" si="4"/>
        <v>3</v>
      </c>
      <c r="O63" s="53"/>
      <c r="P63" s="65"/>
      <c r="Q63" s="66"/>
      <c r="R63" s="6"/>
    </row>
    <row r="64" spans="1:18" x14ac:dyDescent="0.35">
      <c r="A64" s="30">
        <v>52</v>
      </c>
      <c r="B64" s="56" t="s">
        <v>89</v>
      </c>
      <c r="C64" s="58"/>
      <c r="D64" s="59"/>
      <c r="E64" s="52" t="s">
        <v>43</v>
      </c>
      <c r="F64" s="51">
        <v>200</v>
      </c>
      <c r="G64" s="44"/>
      <c r="H64" s="95">
        <v>1.9400000000000001E-2</v>
      </c>
      <c r="I64" s="45">
        <v>23</v>
      </c>
      <c r="J64" s="47">
        <f t="shared" si="0"/>
        <v>0</v>
      </c>
      <c r="K64" s="47">
        <f t="shared" si="1"/>
        <v>0.02</v>
      </c>
      <c r="L64" s="47">
        <f t="shared" si="2"/>
        <v>3.88</v>
      </c>
      <c r="M64" s="47">
        <f t="shared" si="3"/>
        <v>0.89</v>
      </c>
      <c r="N64" s="47">
        <f t="shared" si="4"/>
        <v>4.7699999999999996</v>
      </c>
      <c r="O64" s="53"/>
      <c r="P64" s="65"/>
      <c r="Q64" s="66"/>
      <c r="R64" s="6"/>
    </row>
    <row r="65" spans="1:18" x14ac:dyDescent="0.35">
      <c r="A65" s="30">
        <v>53</v>
      </c>
      <c r="B65" s="56" t="s">
        <v>90</v>
      </c>
      <c r="C65" s="58"/>
      <c r="D65" s="57"/>
      <c r="E65" s="52" t="s">
        <v>43</v>
      </c>
      <c r="F65" s="51">
        <v>200</v>
      </c>
      <c r="G65" s="44"/>
      <c r="H65" s="95">
        <v>3.2399999999999998E-2</v>
      </c>
      <c r="I65" s="45">
        <v>23</v>
      </c>
      <c r="J65" s="47">
        <f t="shared" si="0"/>
        <v>0.01</v>
      </c>
      <c r="K65" s="47">
        <f t="shared" si="1"/>
        <v>0.04</v>
      </c>
      <c r="L65" s="47">
        <f t="shared" si="2"/>
        <v>6.48</v>
      </c>
      <c r="M65" s="47">
        <f t="shared" si="3"/>
        <v>1.49</v>
      </c>
      <c r="N65" s="47">
        <f t="shared" si="4"/>
        <v>7.97</v>
      </c>
      <c r="O65" s="53"/>
      <c r="P65" s="65"/>
      <c r="Q65" s="66"/>
      <c r="R65" s="6"/>
    </row>
    <row r="66" spans="1:18" x14ac:dyDescent="0.35">
      <c r="A66" s="30">
        <v>54</v>
      </c>
      <c r="B66" s="56" t="s">
        <v>91</v>
      </c>
      <c r="C66" s="58"/>
      <c r="D66" s="57"/>
      <c r="E66" s="52" t="s">
        <v>43</v>
      </c>
      <c r="F66" s="51">
        <v>200</v>
      </c>
      <c r="G66" s="44"/>
      <c r="H66" s="95">
        <v>6.4600000000000005E-2</v>
      </c>
      <c r="I66" s="45">
        <v>23</v>
      </c>
      <c r="J66" s="47">
        <f t="shared" si="0"/>
        <v>0.01</v>
      </c>
      <c r="K66" s="47">
        <f t="shared" si="1"/>
        <v>7.0000000000000007E-2</v>
      </c>
      <c r="L66" s="47">
        <f t="shared" si="2"/>
        <v>12.92</v>
      </c>
      <c r="M66" s="47">
        <f t="shared" si="3"/>
        <v>2.97</v>
      </c>
      <c r="N66" s="47">
        <f t="shared" si="4"/>
        <v>15.89</v>
      </c>
      <c r="O66" s="53"/>
      <c r="P66" s="65"/>
      <c r="Q66" s="66"/>
      <c r="R66" s="6"/>
    </row>
    <row r="67" spans="1:18" x14ac:dyDescent="0.35">
      <c r="A67" s="30">
        <v>55</v>
      </c>
      <c r="B67" s="56" t="s">
        <v>92</v>
      </c>
      <c r="C67" s="58"/>
      <c r="D67" s="59"/>
      <c r="E67" s="52" t="s">
        <v>43</v>
      </c>
      <c r="F67" s="51">
        <v>100</v>
      </c>
      <c r="G67" s="44"/>
      <c r="H67" s="95">
        <v>0.13</v>
      </c>
      <c r="I67" s="45">
        <v>23</v>
      </c>
      <c r="J67" s="47">
        <f t="shared" si="0"/>
        <v>0.03</v>
      </c>
      <c r="K67" s="47">
        <f t="shared" si="1"/>
        <v>0.16</v>
      </c>
      <c r="L67" s="47">
        <f t="shared" si="2"/>
        <v>13</v>
      </c>
      <c r="M67" s="47">
        <f t="shared" si="3"/>
        <v>2.99</v>
      </c>
      <c r="N67" s="47">
        <f t="shared" si="4"/>
        <v>15.99</v>
      </c>
      <c r="O67" s="53"/>
      <c r="P67" s="65"/>
      <c r="Q67" s="66"/>
      <c r="R67" s="6"/>
    </row>
    <row r="68" spans="1:18" x14ac:dyDescent="0.35">
      <c r="A68" s="30">
        <v>56</v>
      </c>
      <c r="B68" s="56" t="s">
        <v>93</v>
      </c>
      <c r="C68" s="58"/>
      <c r="D68" s="57"/>
      <c r="E68" s="52" t="s">
        <v>43</v>
      </c>
      <c r="F68" s="51">
        <v>100</v>
      </c>
      <c r="G68" s="44"/>
      <c r="H68" s="95">
        <v>0.23</v>
      </c>
      <c r="I68" s="45">
        <v>23</v>
      </c>
      <c r="J68" s="47">
        <f t="shared" si="0"/>
        <v>0.05</v>
      </c>
      <c r="K68" s="47">
        <f t="shared" si="1"/>
        <v>0.28000000000000003</v>
      </c>
      <c r="L68" s="47">
        <f t="shared" si="2"/>
        <v>23</v>
      </c>
      <c r="M68" s="47">
        <f t="shared" si="3"/>
        <v>5.29</v>
      </c>
      <c r="N68" s="47">
        <f t="shared" si="4"/>
        <v>28.29</v>
      </c>
      <c r="O68" s="53"/>
      <c r="P68" s="65"/>
      <c r="Q68" s="66"/>
      <c r="R68" s="6"/>
    </row>
    <row r="69" spans="1:18" x14ac:dyDescent="0.35">
      <c r="A69" s="30">
        <v>57</v>
      </c>
      <c r="B69" s="56" t="s">
        <v>94</v>
      </c>
      <c r="C69" s="58"/>
      <c r="D69" s="50"/>
      <c r="E69" s="52" t="s">
        <v>43</v>
      </c>
      <c r="F69" s="51">
        <v>200</v>
      </c>
      <c r="G69" s="44"/>
      <c r="H69" s="95">
        <v>6.7999999999999996E-3</v>
      </c>
      <c r="I69" s="45">
        <v>23</v>
      </c>
      <c r="J69" s="47">
        <f t="shared" si="0"/>
        <v>0</v>
      </c>
      <c r="K69" s="47">
        <f t="shared" si="1"/>
        <v>0.01</v>
      </c>
      <c r="L69" s="47">
        <f t="shared" si="2"/>
        <v>1.36</v>
      </c>
      <c r="M69" s="47">
        <f t="shared" si="3"/>
        <v>0.31</v>
      </c>
      <c r="N69" s="47">
        <f t="shared" si="4"/>
        <v>1.67</v>
      </c>
      <c r="O69" s="53"/>
      <c r="P69" s="65"/>
      <c r="Q69" s="66"/>
      <c r="R69" s="6"/>
    </row>
    <row r="70" spans="1:18" x14ac:dyDescent="0.35">
      <c r="A70" s="30">
        <v>58</v>
      </c>
      <c r="B70" s="56" t="s">
        <v>95</v>
      </c>
      <c r="C70" s="58"/>
      <c r="D70" s="50"/>
      <c r="E70" s="52" t="s">
        <v>43</v>
      </c>
      <c r="F70" s="51">
        <v>200</v>
      </c>
      <c r="G70" s="44"/>
      <c r="H70" s="95">
        <v>9.5999999999999992E-3</v>
      </c>
      <c r="I70" s="45">
        <v>23</v>
      </c>
      <c r="J70" s="47">
        <f t="shared" si="0"/>
        <v>0</v>
      </c>
      <c r="K70" s="47">
        <f t="shared" si="1"/>
        <v>0.01</v>
      </c>
      <c r="L70" s="47">
        <f t="shared" si="2"/>
        <v>1.92</v>
      </c>
      <c r="M70" s="47">
        <f t="shared" si="3"/>
        <v>0.44</v>
      </c>
      <c r="N70" s="47">
        <f t="shared" si="4"/>
        <v>2.36</v>
      </c>
      <c r="O70" s="53"/>
      <c r="P70" s="65"/>
      <c r="Q70" s="66"/>
      <c r="R70" s="6"/>
    </row>
    <row r="71" spans="1:18" x14ac:dyDescent="0.35">
      <c r="A71" s="30">
        <v>59</v>
      </c>
      <c r="B71" s="56" t="s">
        <v>96</v>
      </c>
      <c r="C71" s="58"/>
      <c r="D71" s="50"/>
      <c r="E71" s="52" t="s">
        <v>43</v>
      </c>
      <c r="F71" s="51">
        <v>200</v>
      </c>
      <c r="G71" s="44"/>
      <c r="H71" s="95">
        <v>1.06E-2</v>
      </c>
      <c r="I71" s="45">
        <v>23</v>
      </c>
      <c r="J71" s="47">
        <f t="shared" si="0"/>
        <v>0</v>
      </c>
      <c r="K71" s="47">
        <f t="shared" si="1"/>
        <v>0.01</v>
      </c>
      <c r="L71" s="47">
        <f t="shared" si="2"/>
        <v>2.12</v>
      </c>
      <c r="M71" s="47">
        <f t="shared" si="3"/>
        <v>0.49</v>
      </c>
      <c r="N71" s="47">
        <f t="shared" si="4"/>
        <v>2.61</v>
      </c>
      <c r="O71" s="53"/>
      <c r="P71" s="65"/>
      <c r="Q71" s="66"/>
      <c r="R71" s="6"/>
    </row>
    <row r="72" spans="1:18" x14ac:dyDescent="0.35">
      <c r="A72" s="30">
        <v>60</v>
      </c>
      <c r="B72" s="56" t="s">
        <v>97</v>
      </c>
      <c r="C72" s="58"/>
      <c r="D72" s="50"/>
      <c r="E72" s="52" t="s">
        <v>43</v>
      </c>
      <c r="F72" s="51">
        <v>200</v>
      </c>
      <c r="G72" s="44"/>
      <c r="H72" s="95">
        <v>1.32E-2</v>
      </c>
      <c r="I72" s="45">
        <v>23</v>
      </c>
      <c r="J72" s="47">
        <f t="shared" si="0"/>
        <v>0</v>
      </c>
      <c r="K72" s="47">
        <f t="shared" si="1"/>
        <v>0.01</v>
      </c>
      <c r="L72" s="47">
        <f t="shared" si="2"/>
        <v>2.64</v>
      </c>
      <c r="M72" s="47">
        <f t="shared" si="3"/>
        <v>0.61</v>
      </c>
      <c r="N72" s="47">
        <f t="shared" si="4"/>
        <v>3.25</v>
      </c>
      <c r="O72" s="53"/>
      <c r="P72" s="65"/>
      <c r="Q72" s="66"/>
      <c r="R72" s="6"/>
    </row>
    <row r="73" spans="1:18" x14ac:dyDescent="0.35">
      <c r="A73" s="30">
        <v>61</v>
      </c>
      <c r="B73" s="56" t="s">
        <v>98</v>
      </c>
      <c r="C73" s="58"/>
      <c r="D73" s="50"/>
      <c r="E73" s="52" t="s">
        <v>43</v>
      </c>
      <c r="F73" s="51">
        <v>200</v>
      </c>
      <c r="G73" s="44"/>
      <c r="H73" s="95">
        <v>1.14E-2</v>
      </c>
      <c r="I73" s="45">
        <v>23</v>
      </c>
      <c r="J73" s="47">
        <f t="shared" si="0"/>
        <v>0</v>
      </c>
      <c r="K73" s="47">
        <f t="shared" si="1"/>
        <v>0.01</v>
      </c>
      <c r="L73" s="47">
        <f t="shared" si="2"/>
        <v>2.2799999999999998</v>
      </c>
      <c r="M73" s="47">
        <f t="shared" si="3"/>
        <v>0.52</v>
      </c>
      <c r="N73" s="47">
        <f t="shared" si="4"/>
        <v>2.8</v>
      </c>
      <c r="O73" s="53"/>
      <c r="P73" s="65"/>
      <c r="Q73" s="66"/>
      <c r="R73" s="6"/>
    </row>
    <row r="74" spans="1:18" x14ac:dyDescent="0.35">
      <c r="A74" s="30">
        <v>62</v>
      </c>
      <c r="B74" s="56" t="s">
        <v>99</v>
      </c>
      <c r="C74" s="58"/>
      <c r="D74" s="50"/>
      <c r="E74" s="52" t="s">
        <v>43</v>
      </c>
      <c r="F74" s="51">
        <v>100</v>
      </c>
      <c r="G74" s="44"/>
      <c r="H74" s="95">
        <v>2.5399999999999999E-2</v>
      </c>
      <c r="I74" s="45">
        <v>23</v>
      </c>
      <c r="J74" s="47">
        <f t="shared" si="0"/>
        <v>0.01</v>
      </c>
      <c r="K74" s="47">
        <f t="shared" si="1"/>
        <v>0.04</v>
      </c>
      <c r="L74" s="47">
        <f t="shared" si="2"/>
        <v>2.54</v>
      </c>
      <c r="M74" s="47">
        <f t="shared" si="3"/>
        <v>0.57999999999999996</v>
      </c>
      <c r="N74" s="47">
        <f t="shared" si="4"/>
        <v>3.12</v>
      </c>
      <c r="O74" s="53"/>
      <c r="P74" s="65"/>
      <c r="Q74" s="66"/>
      <c r="R74" s="6"/>
    </row>
    <row r="75" spans="1:18" x14ac:dyDescent="0.35">
      <c r="A75" s="30">
        <v>63</v>
      </c>
      <c r="B75" s="56" t="s">
        <v>100</v>
      </c>
      <c r="C75" s="58"/>
      <c r="D75" s="50"/>
      <c r="E75" s="52" t="s">
        <v>43</v>
      </c>
      <c r="F75" s="51">
        <v>100</v>
      </c>
      <c r="G75" s="44"/>
      <c r="H75" s="95">
        <v>5.28E-2</v>
      </c>
      <c r="I75" s="45">
        <v>23</v>
      </c>
      <c r="J75" s="47">
        <f t="shared" si="0"/>
        <v>0.01</v>
      </c>
      <c r="K75" s="47">
        <f t="shared" si="1"/>
        <v>0.06</v>
      </c>
      <c r="L75" s="47">
        <f t="shared" si="2"/>
        <v>5.28</v>
      </c>
      <c r="M75" s="47">
        <f t="shared" si="3"/>
        <v>1.21</v>
      </c>
      <c r="N75" s="47">
        <f t="shared" si="4"/>
        <v>6.49</v>
      </c>
      <c r="O75" s="53"/>
      <c r="P75" s="65"/>
      <c r="Q75" s="66"/>
      <c r="R75" s="6"/>
    </row>
    <row r="76" spans="1:18" ht="29" x14ac:dyDescent="0.35">
      <c r="A76" s="30">
        <v>64</v>
      </c>
      <c r="B76" s="56" t="s">
        <v>178</v>
      </c>
      <c r="C76" s="58"/>
      <c r="D76" s="50"/>
      <c r="E76" s="52" t="s">
        <v>43</v>
      </c>
      <c r="F76" s="51">
        <v>200</v>
      </c>
      <c r="G76" s="44"/>
      <c r="H76" s="95">
        <v>0.05</v>
      </c>
      <c r="I76" s="45">
        <v>23</v>
      </c>
      <c r="J76" s="47">
        <f t="shared" si="0"/>
        <v>0.01</v>
      </c>
      <c r="K76" s="47">
        <f t="shared" si="1"/>
        <v>0.06</v>
      </c>
      <c r="L76" s="47">
        <f t="shared" si="2"/>
        <v>10</v>
      </c>
      <c r="M76" s="47">
        <f t="shared" si="3"/>
        <v>2.2999999999999998</v>
      </c>
      <c r="N76" s="47">
        <f t="shared" si="4"/>
        <v>12.3</v>
      </c>
      <c r="O76" s="53"/>
      <c r="P76" s="65"/>
      <c r="Q76" s="66"/>
      <c r="R76" s="6"/>
    </row>
    <row r="77" spans="1:18" x14ac:dyDescent="0.35">
      <c r="A77" s="30">
        <v>65</v>
      </c>
      <c r="B77" s="63" t="s">
        <v>108</v>
      </c>
      <c r="C77" s="58"/>
      <c r="D77" s="50"/>
      <c r="E77" s="52" t="s">
        <v>43</v>
      </c>
      <c r="F77" s="51">
        <v>200</v>
      </c>
      <c r="G77" s="44"/>
      <c r="H77" s="95">
        <v>1.37E-2</v>
      </c>
      <c r="I77" s="45">
        <v>23</v>
      </c>
      <c r="J77" s="47">
        <f t="shared" si="0"/>
        <v>0</v>
      </c>
      <c r="K77" s="47">
        <f t="shared" si="1"/>
        <v>0.01</v>
      </c>
      <c r="L77" s="47">
        <f t="shared" si="2"/>
        <v>2.74</v>
      </c>
      <c r="M77" s="47">
        <f t="shared" si="3"/>
        <v>0.63</v>
      </c>
      <c r="N77" s="47">
        <f t="shared" si="4"/>
        <v>3.37</v>
      </c>
      <c r="O77" s="53"/>
      <c r="P77" s="65"/>
      <c r="Q77" s="66"/>
      <c r="R77" s="6"/>
    </row>
    <row r="78" spans="1:18" x14ac:dyDescent="0.35">
      <c r="A78" s="30">
        <v>66</v>
      </c>
      <c r="B78" s="63" t="s">
        <v>111</v>
      </c>
      <c r="C78" s="58"/>
      <c r="D78" s="50"/>
      <c r="E78" s="52" t="s">
        <v>43</v>
      </c>
      <c r="F78" s="51">
        <v>200</v>
      </c>
      <c r="G78" s="44"/>
      <c r="H78" s="95">
        <v>1.84E-2</v>
      </c>
      <c r="I78" s="45">
        <v>23</v>
      </c>
      <c r="J78" s="47">
        <f t="shared" ref="J78:J132" si="5">H78/100*I78</f>
        <v>0</v>
      </c>
      <c r="K78" s="47">
        <f t="shared" ref="K78:K131" si="6">H78+J78</f>
        <v>0.02</v>
      </c>
      <c r="L78" s="47">
        <f t="shared" ref="L78:L131" si="7">F78*H78</f>
        <v>3.68</v>
      </c>
      <c r="M78" s="47">
        <f t="shared" ref="M78:M131" si="8">L78/100*I78</f>
        <v>0.85</v>
      </c>
      <c r="N78" s="47">
        <f t="shared" ref="N78:N131" si="9">L78+M78</f>
        <v>4.53</v>
      </c>
      <c r="O78" s="53"/>
      <c r="P78" s="65"/>
      <c r="Q78" s="66"/>
      <c r="R78" s="6"/>
    </row>
    <row r="79" spans="1:18" x14ac:dyDescent="0.35">
      <c r="A79" s="30">
        <v>67</v>
      </c>
      <c r="B79" s="63" t="s">
        <v>114</v>
      </c>
      <c r="C79" s="58"/>
      <c r="D79" s="50"/>
      <c r="E79" s="52" t="s">
        <v>43</v>
      </c>
      <c r="F79" s="51">
        <v>200</v>
      </c>
      <c r="G79" s="44"/>
      <c r="H79" s="95">
        <v>2.7199999999999998E-2</v>
      </c>
      <c r="I79" s="45">
        <v>23</v>
      </c>
      <c r="J79" s="47">
        <f t="shared" si="5"/>
        <v>0.01</v>
      </c>
      <c r="K79" s="47">
        <f t="shared" si="6"/>
        <v>0.04</v>
      </c>
      <c r="L79" s="47">
        <f t="shared" si="7"/>
        <v>5.44</v>
      </c>
      <c r="M79" s="47">
        <f t="shared" si="8"/>
        <v>1.25</v>
      </c>
      <c r="N79" s="47">
        <f t="shared" si="9"/>
        <v>6.69</v>
      </c>
      <c r="O79" s="53"/>
      <c r="P79" s="65"/>
      <c r="Q79" s="66"/>
      <c r="R79" s="6"/>
    </row>
    <row r="80" spans="1:18" x14ac:dyDescent="0.35">
      <c r="A80" s="30">
        <v>68</v>
      </c>
      <c r="B80" s="63" t="s">
        <v>115</v>
      </c>
      <c r="C80" s="58"/>
      <c r="D80" s="50"/>
      <c r="E80" s="52" t="s">
        <v>43</v>
      </c>
      <c r="F80" s="51">
        <v>200</v>
      </c>
      <c r="G80" s="44"/>
      <c r="H80" s="95">
        <v>2.5999999999999999E-2</v>
      </c>
      <c r="I80" s="45">
        <v>23</v>
      </c>
      <c r="J80" s="47">
        <f t="shared" si="5"/>
        <v>0.01</v>
      </c>
      <c r="K80" s="47">
        <f t="shared" si="6"/>
        <v>0.04</v>
      </c>
      <c r="L80" s="47">
        <f t="shared" si="7"/>
        <v>5.2</v>
      </c>
      <c r="M80" s="47">
        <f t="shared" si="8"/>
        <v>1.2</v>
      </c>
      <c r="N80" s="47">
        <f t="shared" si="9"/>
        <v>6.4</v>
      </c>
      <c r="O80" s="53"/>
      <c r="P80" s="65"/>
      <c r="Q80" s="66"/>
      <c r="R80" s="6"/>
    </row>
    <row r="81" spans="1:18" x14ac:dyDescent="0.35">
      <c r="A81" s="30">
        <v>69</v>
      </c>
      <c r="B81" s="63" t="s">
        <v>120</v>
      </c>
      <c r="C81" s="58"/>
      <c r="D81" s="50"/>
      <c r="E81" s="52" t="s">
        <v>43</v>
      </c>
      <c r="F81" s="51">
        <v>200</v>
      </c>
      <c r="G81" s="44"/>
      <c r="H81" s="95">
        <v>8.6699999999999999E-2</v>
      </c>
      <c r="I81" s="45">
        <v>23</v>
      </c>
      <c r="J81" s="47">
        <f t="shared" si="5"/>
        <v>0.02</v>
      </c>
      <c r="K81" s="47">
        <f t="shared" si="6"/>
        <v>0.11</v>
      </c>
      <c r="L81" s="47">
        <f t="shared" si="7"/>
        <v>17.34</v>
      </c>
      <c r="M81" s="47">
        <f t="shared" si="8"/>
        <v>3.99</v>
      </c>
      <c r="N81" s="47">
        <f t="shared" si="9"/>
        <v>21.33</v>
      </c>
      <c r="O81" s="53"/>
      <c r="P81" s="65"/>
      <c r="Q81" s="66"/>
      <c r="R81" s="6"/>
    </row>
    <row r="82" spans="1:18" x14ac:dyDescent="0.35">
      <c r="A82" s="30">
        <v>70</v>
      </c>
      <c r="B82" s="63" t="s">
        <v>122</v>
      </c>
      <c r="C82" s="58"/>
      <c r="D82" s="50"/>
      <c r="E82" s="52" t="s">
        <v>43</v>
      </c>
      <c r="F82" s="51">
        <v>100</v>
      </c>
      <c r="G82" s="44"/>
      <c r="H82" s="95">
        <v>0.191</v>
      </c>
      <c r="I82" s="45">
        <v>23</v>
      </c>
      <c r="J82" s="47">
        <f t="shared" si="5"/>
        <v>0.04</v>
      </c>
      <c r="K82" s="47">
        <f t="shared" si="6"/>
        <v>0.23</v>
      </c>
      <c r="L82" s="47">
        <f t="shared" si="7"/>
        <v>19.100000000000001</v>
      </c>
      <c r="M82" s="47">
        <f t="shared" si="8"/>
        <v>4.3899999999999997</v>
      </c>
      <c r="N82" s="47">
        <f t="shared" si="9"/>
        <v>23.49</v>
      </c>
      <c r="O82" s="53"/>
      <c r="P82" s="65"/>
      <c r="Q82" s="66"/>
      <c r="R82" s="6"/>
    </row>
    <row r="83" spans="1:18" x14ac:dyDescent="0.35">
      <c r="A83" s="30">
        <v>71</v>
      </c>
      <c r="B83" s="63" t="s">
        <v>128</v>
      </c>
      <c r="C83" s="58"/>
      <c r="D83" s="50"/>
      <c r="E83" s="52" t="s">
        <v>43</v>
      </c>
      <c r="F83" s="51">
        <v>100</v>
      </c>
      <c r="G83" s="44"/>
      <c r="H83" s="95">
        <v>0.2545</v>
      </c>
      <c r="I83" s="45">
        <v>23</v>
      </c>
      <c r="J83" s="47">
        <f t="shared" si="5"/>
        <v>0.06</v>
      </c>
      <c r="K83" s="47">
        <f t="shared" si="6"/>
        <v>0.31</v>
      </c>
      <c r="L83" s="47">
        <f t="shared" si="7"/>
        <v>25.45</v>
      </c>
      <c r="M83" s="47">
        <f t="shared" si="8"/>
        <v>5.85</v>
      </c>
      <c r="N83" s="47">
        <f t="shared" si="9"/>
        <v>31.3</v>
      </c>
      <c r="O83" s="53"/>
      <c r="P83" s="65"/>
      <c r="Q83" s="66"/>
      <c r="R83" s="6"/>
    </row>
    <row r="84" spans="1:18" x14ac:dyDescent="0.35">
      <c r="A84" s="30">
        <v>72</v>
      </c>
      <c r="B84" s="56" t="s">
        <v>109</v>
      </c>
      <c r="C84" s="58"/>
      <c r="D84" s="50"/>
      <c r="E84" s="52" t="s">
        <v>43</v>
      </c>
      <c r="F84" s="51">
        <v>200</v>
      </c>
      <c r="G84" s="44"/>
      <c r="H84" s="95">
        <v>2.1000000000000001E-2</v>
      </c>
      <c r="I84" s="45">
        <v>23</v>
      </c>
      <c r="J84" s="47">
        <f t="shared" si="5"/>
        <v>0</v>
      </c>
      <c r="K84" s="47">
        <f t="shared" si="6"/>
        <v>0.02</v>
      </c>
      <c r="L84" s="47">
        <f t="shared" si="7"/>
        <v>4.2</v>
      </c>
      <c r="M84" s="47">
        <f t="shared" si="8"/>
        <v>0.97</v>
      </c>
      <c r="N84" s="47">
        <f t="shared" si="9"/>
        <v>5.17</v>
      </c>
      <c r="O84" s="53"/>
      <c r="P84" s="65"/>
      <c r="Q84" s="66"/>
      <c r="R84" s="6"/>
    </row>
    <row r="85" spans="1:18" x14ac:dyDescent="0.35">
      <c r="A85" s="30">
        <v>73</v>
      </c>
      <c r="B85" s="56" t="s">
        <v>112</v>
      </c>
      <c r="C85" s="58"/>
      <c r="D85" s="50"/>
      <c r="E85" s="52" t="s">
        <v>43</v>
      </c>
      <c r="F85" s="51">
        <v>200</v>
      </c>
      <c r="G85" s="44"/>
      <c r="H85" s="95">
        <v>2.7699999999999999E-2</v>
      </c>
      <c r="I85" s="45">
        <v>23</v>
      </c>
      <c r="J85" s="47">
        <f t="shared" si="5"/>
        <v>0.01</v>
      </c>
      <c r="K85" s="47">
        <f t="shared" si="6"/>
        <v>0.04</v>
      </c>
      <c r="L85" s="47">
        <f t="shared" si="7"/>
        <v>5.54</v>
      </c>
      <c r="M85" s="47">
        <f t="shared" si="8"/>
        <v>1.27</v>
      </c>
      <c r="N85" s="47">
        <f t="shared" si="9"/>
        <v>6.81</v>
      </c>
      <c r="O85" s="53"/>
      <c r="P85" s="65"/>
      <c r="Q85" s="66"/>
      <c r="R85" s="6"/>
    </row>
    <row r="86" spans="1:18" x14ac:dyDescent="0.35">
      <c r="A86" s="30">
        <v>74</v>
      </c>
      <c r="B86" s="56" t="s">
        <v>116</v>
      </c>
      <c r="C86" s="58"/>
      <c r="D86" s="50"/>
      <c r="E86" s="52" t="s">
        <v>43</v>
      </c>
      <c r="F86" s="51">
        <v>200</v>
      </c>
      <c r="G86" s="44"/>
      <c r="H86" s="95">
        <v>3.3300000000000003E-2</v>
      </c>
      <c r="I86" s="45">
        <v>23</v>
      </c>
      <c r="J86" s="47">
        <f t="shared" si="5"/>
        <v>0.01</v>
      </c>
      <c r="K86" s="47">
        <f t="shared" si="6"/>
        <v>0.04</v>
      </c>
      <c r="L86" s="47">
        <f t="shared" si="7"/>
        <v>6.66</v>
      </c>
      <c r="M86" s="47">
        <f t="shared" si="8"/>
        <v>1.53</v>
      </c>
      <c r="N86" s="47">
        <f t="shared" si="9"/>
        <v>8.19</v>
      </c>
      <c r="O86" s="53"/>
      <c r="P86" s="65"/>
      <c r="Q86" s="66"/>
      <c r="R86" s="6"/>
    </row>
    <row r="87" spans="1:18" x14ac:dyDescent="0.35">
      <c r="A87" s="30">
        <v>75</v>
      </c>
      <c r="B87" s="56" t="s">
        <v>117</v>
      </c>
      <c r="C87" s="58"/>
      <c r="D87" s="50"/>
      <c r="E87" s="52" t="s">
        <v>43</v>
      </c>
      <c r="F87" s="51">
        <v>200</v>
      </c>
      <c r="G87" s="44"/>
      <c r="H87" s="95">
        <v>3.9600000000000003E-2</v>
      </c>
      <c r="I87" s="45">
        <v>23</v>
      </c>
      <c r="J87" s="47">
        <f t="shared" si="5"/>
        <v>0.01</v>
      </c>
      <c r="K87" s="47">
        <f t="shared" si="6"/>
        <v>0.05</v>
      </c>
      <c r="L87" s="47">
        <f t="shared" si="7"/>
        <v>7.92</v>
      </c>
      <c r="M87" s="47">
        <f t="shared" si="8"/>
        <v>1.82</v>
      </c>
      <c r="N87" s="47">
        <f t="shared" si="9"/>
        <v>9.74</v>
      </c>
      <c r="O87" s="53"/>
      <c r="P87" s="65"/>
      <c r="Q87" s="66"/>
      <c r="R87" s="6"/>
    </row>
    <row r="88" spans="1:18" x14ac:dyDescent="0.35">
      <c r="A88" s="30">
        <v>76</v>
      </c>
      <c r="B88" s="56" t="s">
        <v>125</v>
      </c>
      <c r="C88" s="58"/>
      <c r="D88" s="50"/>
      <c r="E88" s="52" t="s">
        <v>43</v>
      </c>
      <c r="F88" s="51">
        <v>200</v>
      </c>
      <c r="G88" s="44"/>
      <c r="H88" s="95">
        <v>0.13500000000000001</v>
      </c>
      <c r="I88" s="45">
        <v>23</v>
      </c>
      <c r="J88" s="47">
        <f t="shared" si="5"/>
        <v>0.03</v>
      </c>
      <c r="K88" s="47">
        <f t="shared" si="6"/>
        <v>0.17</v>
      </c>
      <c r="L88" s="47">
        <f t="shared" si="7"/>
        <v>27</v>
      </c>
      <c r="M88" s="47">
        <f t="shared" si="8"/>
        <v>6.21</v>
      </c>
      <c r="N88" s="47">
        <f t="shared" si="9"/>
        <v>33.21</v>
      </c>
      <c r="O88" s="53"/>
      <c r="P88" s="65"/>
      <c r="Q88" s="66"/>
      <c r="R88" s="6"/>
    </row>
    <row r="89" spans="1:18" x14ac:dyDescent="0.35">
      <c r="A89" s="30">
        <v>77</v>
      </c>
      <c r="B89" s="56" t="s">
        <v>123</v>
      </c>
      <c r="C89" s="58"/>
      <c r="D89" s="50"/>
      <c r="E89" s="52" t="s">
        <v>43</v>
      </c>
      <c r="F89" s="51">
        <v>100</v>
      </c>
      <c r="G89" s="44"/>
      <c r="H89" s="95">
        <v>0.318</v>
      </c>
      <c r="I89" s="45">
        <v>23</v>
      </c>
      <c r="J89" s="47">
        <f t="shared" si="5"/>
        <v>7.0000000000000007E-2</v>
      </c>
      <c r="K89" s="47">
        <f t="shared" si="6"/>
        <v>0.39</v>
      </c>
      <c r="L89" s="47">
        <f t="shared" si="7"/>
        <v>31.8</v>
      </c>
      <c r="M89" s="47">
        <f t="shared" si="8"/>
        <v>7.31</v>
      </c>
      <c r="N89" s="47">
        <f t="shared" si="9"/>
        <v>39.11</v>
      </c>
      <c r="O89" s="53"/>
      <c r="P89" s="65"/>
      <c r="Q89" s="66"/>
      <c r="R89" s="6"/>
    </row>
    <row r="90" spans="1:18" x14ac:dyDescent="0.35">
      <c r="A90" s="30">
        <v>78</v>
      </c>
      <c r="B90" s="56" t="s">
        <v>127</v>
      </c>
      <c r="C90" s="58"/>
      <c r="D90" s="50"/>
      <c r="E90" s="52" t="s">
        <v>43</v>
      </c>
      <c r="F90" s="51">
        <v>100</v>
      </c>
      <c r="G90" s="44"/>
      <c r="H90" s="95">
        <v>0.99519999999999997</v>
      </c>
      <c r="I90" s="45">
        <v>23</v>
      </c>
      <c r="J90" s="47">
        <f t="shared" si="5"/>
        <v>0.23</v>
      </c>
      <c r="K90" s="47">
        <f t="shared" si="6"/>
        <v>1.23</v>
      </c>
      <c r="L90" s="47">
        <f t="shared" si="7"/>
        <v>99.52</v>
      </c>
      <c r="M90" s="47">
        <f t="shared" si="8"/>
        <v>22.89</v>
      </c>
      <c r="N90" s="47">
        <f t="shared" si="9"/>
        <v>122.41</v>
      </c>
      <c r="O90" s="53"/>
      <c r="P90" s="65"/>
      <c r="Q90" s="66"/>
      <c r="R90" s="6"/>
    </row>
    <row r="91" spans="1:18" x14ac:dyDescent="0.35">
      <c r="A91" s="30">
        <v>79</v>
      </c>
      <c r="B91" s="63" t="s">
        <v>171</v>
      </c>
      <c r="C91" s="58"/>
      <c r="D91" s="50"/>
      <c r="E91" s="52" t="s">
        <v>43</v>
      </c>
      <c r="F91" s="51">
        <v>200</v>
      </c>
      <c r="G91" s="44"/>
      <c r="H91" s="95">
        <v>6.8000000000000005E-2</v>
      </c>
      <c r="I91" s="45">
        <v>23</v>
      </c>
      <c r="J91" s="47">
        <f t="shared" si="5"/>
        <v>0.02</v>
      </c>
      <c r="K91" s="47">
        <f t="shared" si="6"/>
        <v>0.09</v>
      </c>
      <c r="L91" s="47">
        <f t="shared" si="7"/>
        <v>13.6</v>
      </c>
      <c r="M91" s="47">
        <f t="shared" si="8"/>
        <v>3.13</v>
      </c>
      <c r="N91" s="47">
        <f t="shared" si="9"/>
        <v>16.73</v>
      </c>
      <c r="O91" s="53"/>
      <c r="P91" s="65"/>
      <c r="Q91" s="66"/>
      <c r="R91" s="6"/>
    </row>
    <row r="92" spans="1:18" x14ac:dyDescent="0.35">
      <c r="A92" s="30">
        <v>80</v>
      </c>
      <c r="B92" s="63" t="s">
        <v>172</v>
      </c>
      <c r="C92" s="58"/>
      <c r="D92" s="50"/>
      <c r="E92" s="52" t="s">
        <v>43</v>
      </c>
      <c r="F92" s="51">
        <v>200</v>
      </c>
      <c r="G92" s="44"/>
      <c r="H92" s="95">
        <v>0.06</v>
      </c>
      <c r="I92" s="45">
        <v>23</v>
      </c>
      <c r="J92" s="47">
        <f t="shared" si="5"/>
        <v>0.01</v>
      </c>
      <c r="K92" s="47">
        <f t="shared" si="6"/>
        <v>7.0000000000000007E-2</v>
      </c>
      <c r="L92" s="47">
        <f t="shared" si="7"/>
        <v>12</v>
      </c>
      <c r="M92" s="47">
        <f t="shared" si="8"/>
        <v>2.76</v>
      </c>
      <c r="N92" s="47">
        <f t="shared" si="9"/>
        <v>14.76</v>
      </c>
      <c r="O92" s="53"/>
      <c r="P92" s="65"/>
      <c r="Q92" s="66"/>
      <c r="R92" s="6"/>
    </row>
    <row r="93" spans="1:18" x14ac:dyDescent="0.35">
      <c r="A93" s="30">
        <v>81</v>
      </c>
      <c r="B93" s="63" t="s">
        <v>173</v>
      </c>
      <c r="C93" s="58"/>
      <c r="D93" s="50"/>
      <c r="E93" s="52" t="s">
        <v>43</v>
      </c>
      <c r="F93" s="51">
        <v>200</v>
      </c>
      <c r="G93" s="44"/>
      <c r="H93" s="95">
        <v>9.8000000000000004E-2</v>
      </c>
      <c r="I93" s="45">
        <v>23</v>
      </c>
      <c r="J93" s="47">
        <f t="shared" si="5"/>
        <v>0.02</v>
      </c>
      <c r="K93" s="47">
        <f t="shared" si="6"/>
        <v>0.12</v>
      </c>
      <c r="L93" s="47">
        <f t="shared" si="7"/>
        <v>19.600000000000001</v>
      </c>
      <c r="M93" s="47">
        <f t="shared" si="8"/>
        <v>4.51</v>
      </c>
      <c r="N93" s="47">
        <f t="shared" si="9"/>
        <v>24.11</v>
      </c>
      <c r="O93" s="53"/>
      <c r="P93" s="65"/>
      <c r="Q93" s="66"/>
      <c r="R93" s="6"/>
    </row>
    <row r="94" spans="1:18" x14ac:dyDescent="0.35">
      <c r="A94" s="30">
        <v>82</v>
      </c>
      <c r="B94" s="63" t="s">
        <v>174</v>
      </c>
      <c r="C94" s="58"/>
      <c r="D94" s="50"/>
      <c r="E94" s="52" t="s">
        <v>43</v>
      </c>
      <c r="F94" s="51">
        <v>200</v>
      </c>
      <c r="G94" s="44"/>
      <c r="H94" s="95">
        <v>0.12</v>
      </c>
      <c r="I94" s="45">
        <v>23</v>
      </c>
      <c r="J94" s="47">
        <f t="shared" si="5"/>
        <v>0.03</v>
      </c>
      <c r="K94" s="47">
        <f t="shared" si="6"/>
        <v>0.15</v>
      </c>
      <c r="L94" s="47">
        <f t="shared" si="7"/>
        <v>24</v>
      </c>
      <c r="M94" s="47">
        <f t="shared" si="8"/>
        <v>5.52</v>
      </c>
      <c r="N94" s="47">
        <f t="shared" si="9"/>
        <v>29.52</v>
      </c>
      <c r="O94" s="53"/>
      <c r="P94" s="65"/>
      <c r="Q94" s="66"/>
      <c r="R94" s="6"/>
    </row>
    <row r="95" spans="1:18" x14ac:dyDescent="0.35">
      <c r="A95" s="30">
        <v>83</v>
      </c>
      <c r="B95" s="63" t="s">
        <v>175</v>
      </c>
      <c r="C95" s="58"/>
      <c r="D95" s="50"/>
      <c r="E95" s="52" t="s">
        <v>43</v>
      </c>
      <c r="F95" s="51">
        <v>200</v>
      </c>
      <c r="G95" s="44"/>
      <c r="H95" s="95">
        <v>0.28000000000000003</v>
      </c>
      <c r="I95" s="45">
        <v>23</v>
      </c>
      <c r="J95" s="47">
        <f t="shared" si="5"/>
        <v>0.06</v>
      </c>
      <c r="K95" s="47">
        <f t="shared" si="6"/>
        <v>0.34</v>
      </c>
      <c r="L95" s="47">
        <f t="shared" si="7"/>
        <v>56</v>
      </c>
      <c r="M95" s="47">
        <f t="shared" si="8"/>
        <v>12.88</v>
      </c>
      <c r="N95" s="47">
        <f t="shared" si="9"/>
        <v>68.88</v>
      </c>
      <c r="O95" s="53"/>
      <c r="P95" s="65"/>
      <c r="Q95" s="66"/>
      <c r="R95" s="6"/>
    </row>
    <row r="96" spans="1:18" x14ac:dyDescent="0.35">
      <c r="A96" s="30">
        <v>84</v>
      </c>
      <c r="B96" s="63" t="s">
        <v>176</v>
      </c>
      <c r="C96" s="58"/>
      <c r="D96" s="50"/>
      <c r="E96" s="52" t="s">
        <v>43</v>
      </c>
      <c r="F96" s="51">
        <v>100</v>
      </c>
      <c r="G96" s="44"/>
      <c r="H96" s="95">
        <v>0.69</v>
      </c>
      <c r="I96" s="45">
        <v>23</v>
      </c>
      <c r="J96" s="47">
        <f t="shared" si="5"/>
        <v>0.16</v>
      </c>
      <c r="K96" s="47">
        <f t="shared" si="6"/>
        <v>0.85</v>
      </c>
      <c r="L96" s="47">
        <f t="shared" si="7"/>
        <v>69</v>
      </c>
      <c r="M96" s="47">
        <f t="shared" si="8"/>
        <v>15.87</v>
      </c>
      <c r="N96" s="47">
        <f t="shared" si="9"/>
        <v>84.87</v>
      </c>
      <c r="O96" s="53"/>
      <c r="P96" s="65"/>
      <c r="Q96" s="66"/>
      <c r="R96" s="6"/>
    </row>
    <row r="97" spans="1:18" x14ac:dyDescent="0.35">
      <c r="A97" s="30">
        <v>85</v>
      </c>
      <c r="B97" s="63" t="s">
        <v>177</v>
      </c>
      <c r="C97" s="58"/>
      <c r="D97" s="50"/>
      <c r="E97" s="52" t="s">
        <v>43</v>
      </c>
      <c r="F97" s="51">
        <v>100</v>
      </c>
      <c r="G97" s="44"/>
      <c r="H97" s="95">
        <v>0.75</v>
      </c>
      <c r="I97" s="45">
        <v>23</v>
      </c>
      <c r="J97" s="47">
        <f t="shared" si="5"/>
        <v>0.17</v>
      </c>
      <c r="K97" s="47">
        <f t="shared" si="6"/>
        <v>0.92</v>
      </c>
      <c r="L97" s="47">
        <f t="shared" si="7"/>
        <v>75</v>
      </c>
      <c r="M97" s="47">
        <f t="shared" si="8"/>
        <v>17.25</v>
      </c>
      <c r="N97" s="47">
        <f t="shared" si="9"/>
        <v>92.25</v>
      </c>
      <c r="O97" s="53"/>
      <c r="P97" s="65"/>
      <c r="Q97" s="66"/>
      <c r="R97" s="6"/>
    </row>
    <row r="98" spans="1:18" x14ac:dyDescent="0.35">
      <c r="A98" s="30">
        <v>86</v>
      </c>
      <c r="B98" s="63" t="s">
        <v>110</v>
      </c>
      <c r="C98" s="58"/>
      <c r="D98" s="50"/>
      <c r="E98" s="52" t="s">
        <v>43</v>
      </c>
      <c r="F98" s="51">
        <v>200</v>
      </c>
      <c r="G98" s="44"/>
      <c r="H98" s="95">
        <v>0.15</v>
      </c>
      <c r="I98" s="45">
        <v>23</v>
      </c>
      <c r="J98" s="47">
        <f t="shared" si="5"/>
        <v>0.03</v>
      </c>
      <c r="K98" s="47">
        <f t="shared" si="6"/>
        <v>0.18</v>
      </c>
      <c r="L98" s="47">
        <f t="shared" si="7"/>
        <v>30</v>
      </c>
      <c r="M98" s="47">
        <f t="shared" si="8"/>
        <v>6.9</v>
      </c>
      <c r="N98" s="47">
        <f t="shared" si="9"/>
        <v>36.9</v>
      </c>
      <c r="O98" s="53"/>
      <c r="P98" s="65"/>
      <c r="Q98" s="66"/>
      <c r="R98" s="6"/>
    </row>
    <row r="99" spans="1:18" x14ac:dyDescent="0.35">
      <c r="A99" s="30">
        <v>87</v>
      </c>
      <c r="B99" s="63" t="s">
        <v>113</v>
      </c>
      <c r="C99" s="58"/>
      <c r="D99" s="50"/>
      <c r="E99" s="52" t="s">
        <v>43</v>
      </c>
      <c r="F99" s="51">
        <v>200</v>
      </c>
      <c r="G99" s="44"/>
      <c r="H99" s="95">
        <v>0.1</v>
      </c>
      <c r="I99" s="45">
        <v>23</v>
      </c>
      <c r="J99" s="47">
        <f t="shared" si="5"/>
        <v>0.02</v>
      </c>
      <c r="K99" s="47">
        <f t="shared" si="6"/>
        <v>0.12</v>
      </c>
      <c r="L99" s="47">
        <f t="shared" si="7"/>
        <v>20</v>
      </c>
      <c r="M99" s="47">
        <f t="shared" si="8"/>
        <v>4.5999999999999996</v>
      </c>
      <c r="N99" s="47">
        <f t="shared" si="9"/>
        <v>24.6</v>
      </c>
      <c r="O99" s="53"/>
      <c r="P99" s="65"/>
      <c r="Q99" s="66"/>
      <c r="R99" s="6"/>
    </row>
    <row r="100" spans="1:18" x14ac:dyDescent="0.35">
      <c r="A100" s="30">
        <v>88</v>
      </c>
      <c r="B100" s="63" t="s">
        <v>118</v>
      </c>
      <c r="C100" s="58"/>
      <c r="D100" s="50"/>
      <c r="E100" s="52" t="s">
        <v>43</v>
      </c>
      <c r="F100" s="51">
        <v>200</v>
      </c>
      <c r="G100" s="44"/>
      <c r="H100" s="95">
        <v>0.28000000000000003</v>
      </c>
      <c r="I100" s="45">
        <v>23</v>
      </c>
      <c r="J100" s="47">
        <f t="shared" si="5"/>
        <v>0.06</v>
      </c>
      <c r="K100" s="47">
        <f t="shared" si="6"/>
        <v>0.34</v>
      </c>
      <c r="L100" s="47">
        <f t="shared" si="7"/>
        <v>56</v>
      </c>
      <c r="M100" s="47">
        <f t="shared" si="8"/>
        <v>12.88</v>
      </c>
      <c r="N100" s="47">
        <f t="shared" si="9"/>
        <v>68.88</v>
      </c>
      <c r="O100" s="53"/>
      <c r="P100" s="65"/>
      <c r="Q100" s="66"/>
      <c r="R100" s="6"/>
    </row>
    <row r="101" spans="1:18" x14ac:dyDescent="0.35">
      <c r="A101" s="30">
        <v>89</v>
      </c>
      <c r="B101" s="63" t="s">
        <v>119</v>
      </c>
      <c r="C101" s="58"/>
      <c r="D101" s="50"/>
      <c r="E101" s="52" t="s">
        <v>43</v>
      </c>
      <c r="F101" s="51">
        <v>200</v>
      </c>
      <c r="G101" s="44"/>
      <c r="H101" s="95">
        <v>0.223</v>
      </c>
      <c r="I101" s="45">
        <v>23</v>
      </c>
      <c r="J101" s="47">
        <f t="shared" si="5"/>
        <v>0.05</v>
      </c>
      <c r="K101" s="47">
        <f t="shared" si="6"/>
        <v>0.27</v>
      </c>
      <c r="L101" s="47">
        <f t="shared" si="7"/>
        <v>44.6</v>
      </c>
      <c r="M101" s="47">
        <f t="shared" si="8"/>
        <v>10.26</v>
      </c>
      <c r="N101" s="47">
        <f t="shared" si="9"/>
        <v>54.86</v>
      </c>
      <c r="O101" s="53"/>
      <c r="P101" s="65"/>
      <c r="Q101" s="66"/>
      <c r="R101" s="6"/>
    </row>
    <row r="102" spans="1:18" x14ac:dyDescent="0.35">
      <c r="A102" s="30">
        <v>90</v>
      </c>
      <c r="B102" s="63" t="s">
        <v>121</v>
      </c>
      <c r="C102" s="58"/>
      <c r="D102" s="50"/>
      <c r="E102" s="52" t="s">
        <v>43</v>
      </c>
      <c r="F102" s="51">
        <v>200</v>
      </c>
      <c r="G102" s="44"/>
      <c r="H102" s="95">
        <v>1.1499999999999999</v>
      </c>
      <c r="I102" s="45">
        <v>23</v>
      </c>
      <c r="J102" s="47">
        <f t="shared" si="5"/>
        <v>0.26</v>
      </c>
      <c r="K102" s="47">
        <f t="shared" si="6"/>
        <v>1.41</v>
      </c>
      <c r="L102" s="47">
        <f t="shared" si="7"/>
        <v>230</v>
      </c>
      <c r="M102" s="47">
        <f t="shared" si="8"/>
        <v>52.9</v>
      </c>
      <c r="N102" s="47">
        <f t="shared" si="9"/>
        <v>282.89999999999998</v>
      </c>
      <c r="O102" s="53"/>
      <c r="P102" s="65"/>
      <c r="Q102" s="66"/>
      <c r="R102" s="6"/>
    </row>
    <row r="103" spans="1:18" x14ac:dyDescent="0.35">
      <c r="A103" s="30">
        <v>100</v>
      </c>
      <c r="B103" s="63" t="s">
        <v>124</v>
      </c>
      <c r="C103" s="58"/>
      <c r="D103" s="50"/>
      <c r="E103" s="52" t="s">
        <v>43</v>
      </c>
      <c r="F103" s="51">
        <v>100</v>
      </c>
      <c r="G103" s="44"/>
      <c r="H103" s="95">
        <v>2.6</v>
      </c>
      <c r="I103" s="45">
        <v>23</v>
      </c>
      <c r="J103" s="47">
        <f t="shared" si="5"/>
        <v>0.6</v>
      </c>
      <c r="K103" s="47">
        <f t="shared" si="6"/>
        <v>3.2</v>
      </c>
      <c r="L103" s="47">
        <f t="shared" si="7"/>
        <v>260</v>
      </c>
      <c r="M103" s="47">
        <f t="shared" si="8"/>
        <v>59.8</v>
      </c>
      <c r="N103" s="47">
        <f t="shared" si="9"/>
        <v>319.8</v>
      </c>
      <c r="O103" s="53"/>
      <c r="P103" s="65"/>
      <c r="Q103" s="66"/>
      <c r="R103" s="6"/>
    </row>
    <row r="104" spans="1:18" x14ac:dyDescent="0.35">
      <c r="A104" s="30">
        <v>101</v>
      </c>
      <c r="B104" s="63" t="s">
        <v>126</v>
      </c>
      <c r="C104" s="58"/>
      <c r="D104" s="50"/>
      <c r="E104" s="52" t="s">
        <v>43</v>
      </c>
      <c r="F104" s="51">
        <v>100</v>
      </c>
      <c r="G104" s="44"/>
      <c r="H104" s="95">
        <v>2.2799999999999998</v>
      </c>
      <c r="I104" s="45">
        <v>23</v>
      </c>
      <c r="J104" s="47">
        <f t="shared" si="5"/>
        <v>0.52</v>
      </c>
      <c r="K104" s="47">
        <f t="shared" si="6"/>
        <v>2.8</v>
      </c>
      <c r="L104" s="47">
        <f t="shared" si="7"/>
        <v>228</v>
      </c>
      <c r="M104" s="47">
        <f t="shared" si="8"/>
        <v>52.44</v>
      </c>
      <c r="N104" s="47">
        <f t="shared" si="9"/>
        <v>280.44</v>
      </c>
      <c r="O104" s="53"/>
      <c r="P104" s="65"/>
      <c r="Q104" s="66"/>
      <c r="R104" s="6"/>
    </row>
    <row r="105" spans="1:18" x14ac:dyDescent="0.35">
      <c r="A105" s="30">
        <v>102</v>
      </c>
      <c r="B105" s="56" t="s">
        <v>170</v>
      </c>
      <c r="C105" s="58"/>
      <c r="D105" s="50"/>
      <c r="E105" s="52" t="s">
        <v>43</v>
      </c>
      <c r="F105" s="51">
        <v>4</v>
      </c>
      <c r="G105" s="44"/>
      <c r="H105" s="95">
        <v>2.5</v>
      </c>
      <c r="I105" s="45">
        <v>23</v>
      </c>
      <c r="J105" s="47">
        <f t="shared" si="5"/>
        <v>0.57999999999999996</v>
      </c>
      <c r="K105" s="47">
        <f t="shared" si="6"/>
        <v>3.08</v>
      </c>
      <c r="L105" s="47">
        <f t="shared" si="7"/>
        <v>10</v>
      </c>
      <c r="M105" s="47">
        <f t="shared" si="8"/>
        <v>2.2999999999999998</v>
      </c>
      <c r="N105" s="47">
        <f t="shared" si="9"/>
        <v>12.3</v>
      </c>
      <c r="O105" s="53"/>
      <c r="P105" s="65"/>
      <c r="Q105" s="66"/>
      <c r="R105" s="6"/>
    </row>
    <row r="106" spans="1:18" x14ac:dyDescent="0.35">
      <c r="A106" s="30">
        <v>103</v>
      </c>
      <c r="B106" s="56" t="s">
        <v>145</v>
      </c>
      <c r="C106" s="58"/>
      <c r="D106" s="50"/>
      <c r="E106" s="52" t="s">
        <v>43</v>
      </c>
      <c r="F106" s="51">
        <v>4</v>
      </c>
      <c r="G106" s="44"/>
      <c r="H106" s="95">
        <v>3.7</v>
      </c>
      <c r="I106" s="45">
        <v>23</v>
      </c>
      <c r="J106" s="47">
        <f t="shared" si="5"/>
        <v>0.85</v>
      </c>
      <c r="K106" s="47">
        <f t="shared" si="6"/>
        <v>4.55</v>
      </c>
      <c r="L106" s="47">
        <f t="shared" si="7"/>
        <v>14.8</v>
      </c>
      <c r="M106" s="47">
        <f t="shared" si="8"/>
        <v>3.4</v>
      </c>
      <c r="N106" s="47">
        <f t="shared" si="9"/>
        <v>18.2</v>
      </c>
      <c r="O106" s="53"/>
      <c r="P106" s="65"/>
      <c r="Q106" s="66"/>
      <c r="R106" s="6"/>
    </row>
    <row r="107" spans="1:18" x14ac:dyDescent="0.35">
      <c r="A107" s="30">
        <v>104</v>
      </c>
      <c r="B107" s="56" t="s">
        <v>146</v>
      </c>
      <c r="C107" s="58"/>
      <c r="D107" s="50"/>
      <c r="E107" s="52" t="s">
        <v>43</v>
      </c>
      <c r="F107" s="51">
        <v>4</v>
      </c>
      <c r="G107" s="44"/>
      <c r="H107" s="95">
        <v>3.63</v>
      </c>
      <c r="I107" s="45">
        <v>23</v>
      </c>
      <c r="J107" s="47">
        <f t="shared" si="5"/>
        <v>0.83</v>
      </c>
      <c r="K107" s="47">
        <f t="shared" si="6"/>
        <v>4.46</v>
      </c>
      <c r="L107" s="47">
        <f t="shared" si="7"/>
        <v>14.52</v>
      </c>
      <c r="M107" s="47">
        <f t="shared" si="8"/>
        <v>3.34</v>
      </c>
      <c r="N107" s="47">
        <f t="shared" si="9"/>
        <v>17.86</v>
      </c>
      <c r="O107" s="53"/>
      <c r="P107" s="65"/>
      <c r="Q107" s="66"/>
      <c r="R107" s="6"/>
    </row>
    <row r="108" spans="1:18" x14ac:dyDescent="0.35">
      <c r="A108" s="30">
        <v>105</v>
      </c>
      <c r="B108" s="56" t="s">
        <v>147</v>
      </c>
      <c r="C108" s="58"/>
      <c r="D108" s="50"/>
      <c r="E108" s="52" t="s">
        <v>43</v>
      </c>
      <c r="F108" s="51">
        <v>4</v>
      </c>
      <c r="G108" s="44"/>
      <c r="H108" s="95">
        <v>4.75</v>
      </c>
      <c r="I108" s="45">
        <v>23</v>
      </c>
      <c r="J108" s="47">
        <f t="shared" si="5"/>
        <v>1.0900000000000001</v>
      </c>
      <c r="K108" s="47">
        <f t="shared" si="6"/>
        <v>5.84</v>
      </c>
      <c r="L108" s="47">
        <f t="shared" si="7"/>
        <v>19</v>
      </c>
      <c r="M108" s="47">
        <f t="shared" si="8"/>
        <v>4.37</v>
      </c>
      <c r="N108" s="47">
        <f t="shared" si="9"/>
        <v>23.37</v>
      </c>
      <c r="O108" s="53"/>
      <c r="P108" s="65"/>
      <c r="Q108" s="66"/>
      <c r="R108" s="6"/>
    </row>
    <row r="109" spans="1:18" x14ac:dyDescent="0.35">
      <c r="A109" s="30">
        <v>106</v>
      </c>
      <c r="B109" s="56" t="s">
        <v>148</v>
      </c>
      <c r="C109" s="58"/>
      <c r="D109" s="50"/>
      <c r="E109" s="52" t="s">
        <v>43</v>
      </c>
      <c r="F109" s="51">
        <v>4</v>
      </c>
      <c r="G109" s="44"/>
      <c r="H109" s="95">
        <v>8.5500000000000007</v>
      </c>
      <c r="I109" s="45">
        <v>23</v>
      </c>
      <c r="J109" s="47">
        <f t="shared" si="5"/>
        <v>1.97</v>
      </c>
      <c r="K109" s="47">
        <f t="shared" si="6"/>
        <v>10.52</v>
      </c>
      <c r="L109" s="47">
        <f t="shared" si="7"/>
        <v>34.200000000000003</v>
      </c>
      <c r="M109" s="47">
        <f t="shared" si="8"/>
        <v>7.87</v>
      </c>
      <c r="N109" s="47">
        <f t="shared" si="9"/>
        <v>42.07</v>
      </c>
      <c r="O109" s="53"/>
      <c r="P109" s="65"/>
      <c r="Q109" s="66"/>
      <c r="R109" s="6"/>
    </row>
    <row r="110" spans="1:18" x14ac:dyDescent="0.35">
      <c r="A110" s="30">
        <v>107</v>
      </c>
      <c r="B110" s="56" t="s">
        <v>149</v>
      </c>
      <c r="C110" s="58"/>
      <c r="D110" s="50"/>
      <c r="E110" s="52" t="s">
        <v>43</v>
      </c>
      <c r="F110" s="51">
        <v>4</v>
      </c>
      <c r="G110" s="44"/>
      <c r="H110" s="95">
        <v>15.85</v>
      </c>
      <c r="I110" s="45">
        <v>23</v>
      </c>
      <c r="J110" s="47">
        <f t="shared" si="5"/>
        <v>3.65</v>
      </c>
      <c r="K110" s="47">
        <f t="shared" si="6"/>
        <v>19.5</v>
      </c>
      <c r="L110" s="47">
        <f t="shared" si="7"/>
        <v>63.4</v>
      </c>
      <c r="M110" s="47">
        <f t="shared" si="8"/>
        <v>14.58</v>
      </c>
      <c r="N110" s="47">
        <f t="shared" si="9"/>
        <v>77.98</v>
      </c>
      <c r="O110" s="53"/>
      <c r="P110" s="65"/>
      <c r="Q110" s="66"/>
      <c r="R110" s="6"/>
    </row>
    <row r="111" spans="1:18" x14ac:dyDescent="0.35">
      <c r="A111" s="30">
        <v>108</v>
      </c>
      <c r="B111" s="56" t="s">
        <v>150</v>
      </c>
      <c r="C111" s="58"/>
      <c r="D111" s="50"/>
      <c r="E111" s="52" t="s">
        <v>43</v>
      </c>
      <c r="F111" s="51">
        <v>4</v>
      </c>
      <c r="G111" s="44"/>
      <c r="H111" s="95">
        <v>24.83</v>
      </c>
      <c r="I111" s="45">
        <v>23</v>
      </c>
      <c r="J111" s="47">
        <f t="shared" si="5"/>
        <v>5.71</v>
      </c>
      <c r="K111" s="47">
        <f t="shared" si="6"/>
        <v>30.54</v>
      </c>
      <c r="L111" s="47">
        <f t="shared" si="7"/>
        <v>99.32</v>
      </c>
      <c r="M111" s="47">
        <f t="shared" si="8"/>
        <v>22.84</v>
      </c>
      <c r="N111" s="47">
        <f t="shared" si="9"/>
        <v>122.16</v>
      </c>
      <c r="O111" s="53"/>
      <c r="P111" s="65"/>
      <c r="Q111" s="66"/>
      <c r="R111" s="6"/>
    </row>
    <row r="112" spans="1:18" x14ac:dyDescent="0.35">
      <c r="A112" s="30">
        <v>109</v>
      </c>
      <c r="B112" s="56" t="s">
        <v>144</v>
      </c>
      <c r="C112" s="58"/>
      <c r="D112" s="50"/>
      <c r="E112" s="52" t="s">
        <v>43</v>
      </c>
      <c r="F112" s="51">
        <v>4</v>
      </c>
      <c r="G112" s="44"/>
      <c r="H112" s="95">
        <v>5.2</v>
      </c>
      <c r="I112" s="45">
        <v>23</v>
      </c>
      <c r="J112" s="47">
        <f t="shared" si="5"/>
        <v>1.2</v>
      </c>
      <c r="K112" s="47">
        <f t="shared" si="6"/>
        <v>6.4</v>
      </c>
      <c r="L112" s="47">
        <f t="shared" si="7"/>
        <v>20.8</v>
      </c>
      <c r="M112" s="47">
        <f t="shared" si="8"/>
        <v>4.78</v>
      </c>
      <c r="N112" s="47">
        <f t="shared" si="9"/>
        <v>25.58</v>
      </c>
      <c r="O112" s="53"/>
      <c r="P112" s="65"/>
      <c r="Q112" s="66"/>
      <c r="R112" s="6"/>
    </row>
    <row r="113" spans="1:18" x14ac:dyDescent="0.35">
      <c r="A113" s="30">
        <v>110</v>
      </c>
      <c r="B113" s="56" t="s">
        <v>137</v>
      </c>
      <c r="C113" s="58"/>
      <c r="D113" s="50"/>
      <c r="E113" s="52" t="s">
        <v>43</v>
      </c>
      <c r="F113" s="51">
        <v>4</v>
      </c>
      <c r="G113" s="44"/>
      <c r="H113" s="95">
        <v>6.8</v>
      </c>
      <c r="I113" s="45">
        <v>23</v>
      </c>
      <c r="J113" s="47">
        <f t="shared" si="5"/>
        <v>1.56</v>
      </c>
      <c r="K113" s="47">
        <f t="shared" si="6"/>
        <v>8.36</v>
      </c>
      <c r="L113" s="47">
        <f t="shared" si="7"/>
        <v>27.2</v>
      </c>
      <c r="M113" s="47">
        <f t="shared" si="8"/>
        <v>6.26</v>
      </c>
      <c r="N113" s="47">
        <f t="shared" si="9"/>
        <v>33.46</v>
      </c>
      <c r="O113" s="53"/>
      <c r="P113" s="65"/>
      <c r="Q113" s="66"/>
      <c r="R113" s="6"/>
    </row>
    <row r="114" spans="1:18" x14ac:dyDescent="0.35">
      <c r="A114" s="30">
        <v>111</v>
      </c>
      <c r="B114" s="56" t="s">
        <v>151</v>
      </c>
      <c r="C114" s="58"/>
      <c r="D114" s="50"/>
      <c r="E114" s="52" t="s">
        <v>43</v>
      </c>
      <c r="F114" s="51">
        <v>4</v>
      </c>
      <c r="G114" s="44"/>
      <c r="H114" s="95">
        <v>7.59</v>
      </c>
      <c r="I114" s="45">
        <v>23</v>
      </c>
      <c r="J114" s="47">
        <f t="shared" si="5"/>
        <v>1.75</v>
      </c>
      <c r="K114" s="47">
        <f t="shared" si="6"/>
        <v>9.34</v>
      </c>
      <c r="L114" s="47">
        <f t="shared" si="7"/>
        <v>30.36</v>
      </c>
      <c r="M114" s="47">
        <f t="shared" si="8"/>
        <v>6.98</v>
      </c>
      <c r="N114" s="47">
        <f t="shared" si="9"/>
        <v>37.340000000000003</v>
      </c>
      <c r="O114" s="53"/>
      <c r="P114" s="65"/>
      <c r="Q114" s="66"/>
      <c r="R114" s="6"/>
    </row>
    <row r="115" spans="1:18" x14ac:dyDescent="0.35">
      <c r="A115" s="30">
        <v>112</v>
      </c>
      <c r="B115" s="56" t="s">
        <v>152</v>
      </c>
      <c r="C115" s="58"/>
      <c r="D115" s="50"/>
      <c r="E115" s="52" t="s">
        <v>43</v>
      </c>
      <c r="F115" s="51">
        <v>4</v>
      </c>
      <c r="G115" s="44"/>
      <c r="H115" s="95">
        <v>7.47</v>
      </c>
      <c r="I115" s="45">
        <v>23</v>
      </c>
      <c r="J115" s="47">
        <f t="shared" si="5"/>
        <v>1.72</v>
      </c>
      <c r="K115" s="47">
        <f t="shared" si="6"/>
        <v>9.19</v>
      </c>
      <c r="L115" s="47">
        <f t="shared" si="7"/>
        <v>29.88</v>
      </c>
      <c r="M115" s="47">
        <f t="shared" si="8"/>
        <v>6.87</v>
      </c>
      <c r="N115" s="47">
        <f t="shared" si="9"/>
        <v>36.75</v>
      </c>
      <c r="O115" s="53"/>
      <c r="P115" s="65"/>
      <c r="Q115" s="66"/>
      <c r="R115" s="6"/>
    </row>
    <row r="116" spans="1:18" x14ac:dyDescent="0.35">
      <c r="A116" s="30">
        <v>113</v>
      </c>
      <c r="B116" s="56" t="s">
        <v>153</v>
      </c>
      <c r="C116" s="58"/>
      <c r="D116" s="50"/>
      <c r="E116" s="52" t="s">
        <v>43</v>
      </c>
      <c r="F116" s="51">
        <v>4</v>
      </c>
      <c r="G116" s="44"/>
      <c r="H116" s="95">
        <v>9.93</v>
      </c>
      <c r="I116" s="45">
        <v>23</v>
      </c>
      <c r="J116" s="47">
        <f t="shared" si="5"/>
        <v>2.2799999999999998</v>
      </c>
      <c r="K116" s="47">
        <f t="shared" si="6"/>
        <v>12.21</v>
      </c>
      <c r="L116" s="47">
        <f t="shared" si="7"/>
        <v>39.72</v>
      </c>
      <c r="M116" s="47">
        <f t="shared" si="8"/>
        <v>9.14</v>
      </c>
      <c r="N116" s="47">
        <f t="shared" si="9"/>
        <v>48.86</v>
      </c>
      <c r="O116" s="53"/>
      <c r="P116" s="65"/>
      <c r="Q116" s="66"/>
      <c r="R116" s="6"/>
    </row>
    <row r="117" spans="1:18" x14ac:dyDescent="0.35">
      <c r="A117" s="30">
        <v>114</v>
      </c>
      <c r="B117" s="56" t="s">
        <v>154</v>
      </c>
      <c r="C117" s="58"/>
      <c r="D117" s="50"/>
      <c r="E117" s="52" t="s">
        <v>43</v>
      </c>
      <c r="F117" s="51">
        <v>4</v>
      </c>
      <c r="G117" s="44"/>
      <c r="H117" s="95">
        <v>10.85</v>
      </c>
      <c r="I117" s="45">
        <v>23</v>
      </c>
      <c r="J117" s="47">
        <f t="shared" si="5"/>
        <v>2.5</v>
      </c>
      <c r="K117" s="47">
        <f t="shared" si="6"/>
        <v>13.35</v>
      </c>
      <c r="L117" s="47">
        <f t="shared" si="7"/>
        <v>43.4</v>
      </c>
      <c r="M117" s="47">
        <f t="shared" si="8"/>
        <v>9.98</v>
      </c>
      <c r="N117" s="47">
        <f t="shared" si="9"/>
        <v>53.38</v>
      </c>
      <c r="O117" s="53"/>
      <c r="P117" s="65"/>
      <c r="Q117" s="66"/>
      <c r="R117" s="6"/>
    </row>
    <row r="118" spans="1:18" x14ac:dyDescent="0.35">
      <c r="A118" s="30">
        <v>115</v>
      </c>
      <c r="B118" s="56" t="s">
        <v>155</v>
      </c>
      <c r="C118" s="58"/>
      <c r="D118" s="50"/>
      <c r="E118" s="52" t="s">
        <v>43</v>
      </c>
      <c r="F118" s="51">
        <v>4</v>
      </c>
      <c r="G118" s="44"/>
      <c r="H118" s="95">
        <v>14.5</v>
      </c>
      <c r="I118" s="45">
        <v>23</v>
      </c>
      <c r="J118" s="47">
        <f t="shared" si="5"/>
        <v>3.34</v>
      </c>
      <c r="K118" s="47">
        <f t="shared" si="6"/>
        <v>17.84</v>
      </c>
      <c r="L118" s="47">
        <f t="shared" si="7"/>
        <v>58</v>
      </c>
      <c r="M118" s="47">
        <f t="shared" si="8"/>
        <v>13.34</v>
      </c>
      <c r="N118" s="47">
        <f t="shared" si="9"/>
        <v>71.34</v>
      </c>
      <c r="O118" s="53"/>
      <c r="P118" s="65"/>
      <c r="Q118" s="66"/>
      <c r="R118" s="6"/>
    </row>
    <row r="119" spans="1:18" x14ac:dyDescent="0.35">
      <c r="A119" s="30">
        <v>116</v>
      </c>
      <c r="B119" s="56" t="s">
        <v>156</v>
      </c>
      <c r="C119" s="58"/>
      <c r="D119" s="50"/>
      <c r="E119" s="52" t="s">
        <v>43</v>
      </c>
      <c r="F119" s="51">
        <v>4</v>
      </c>
      <c r="G119" s="44"/>
      <c r="H119" s="95">
        <v>1.2</v>
      </c>
      <c r="I119" s="45">
        <v>23</v>
      </c>
      <c r="J119" s="47">
        <f t="shared" si="5"/>
        <v>0.28000000000000003</v>
      </c>
      <c r="K119" s="47">
        <f t="shared" si="6"/>
        <v>1.48</v>
      </c>
      <c r="L119" s="47">
        <f t="shared" si="7"/>
        <v>4.8</v>
      </c>
      <c r="M119" s="47">
        <f t="shared" si="8"/>
        <v>1.1000000000000001</v>
      </c>
      <c r="N119" s="47">
        <f t="shared" si="9"/>
        <v>5.9</v>
      </c>
      <c r="O119" s="53"/>
      <c r="P119" s="65"/>
      <c r="Q119" s="66"/>
      <c r="R119" s="6"/>
    </row>
    <row r="120" spans="1:18" x14ac:dyDescent="0.35">
      <c r="A120" s="30">
        <v>117</v>
      </c>
      <c r="B120" s="56" t="s">
        <v>157</v>
      </c>
      <c r="C120" s="58"/>
      <c r="D120" s="50"/>
      <c r="E120" s="52" t="s">
        <v>43</v>
      </c>
      <c r="F120" s="51">
        <v>4</v>
      </c>
      <c r="G120" s="44"/>
      <c r="H120" s="95">
        <v>0.73</v>
      </c>
      <c r="I120" s="45">
        <v>23</v>
      </c>
      <c r="J120" s="47">
        <f t="shared" si="5"/>
        <v>0.17</v>
      </c>
      <c r="K120" s="47">
        <f t="shared" si="6"/>
        <v>0.9</v>
      </c>
      <c r="L120" s="47">
        <f t="shared" si="7"/>
        <v>2.92</v>
      </c>
      <c r="M120" s="47">
        <f t="shared" si="8"/>
        <v>0.67</v>
      </c>
      <c r="N120" s="47">
        <f t="shared" si="9"/>
        <v>3.59</v>
      </c>
      <c r="O120" s="53"/>
      <c r="P120" s="65"/>
      <c r="Q120" s="66"/>
      <c r="R120" s="6"/>
    </row>
    <row r="121" spans="1:18" x14ac:dyDescent="0.35">
      <c r="A121" s="30">
        <v>118</v>
      </c>
      <c r="B121" s="56" t="s">
        <v>158</v>
      </c>
      <c r="C121" s="58"/>
      <c r="D121" s="50"/>
      <c r="E121" s="52" t="s">
        <v>43</v>
      </c>
      <c r="F121" s="51">
        <v>4</v>
      </c>
      <c r="G121" s="44"/>
      <c r="H121" s="95">
        <v>0.86699999999999999</v>
      </c>
      <c r="I121" s="45">
        <v>23</v>
      </c>
      <c r="J121" s="47">
        <f t="shared" si="5"/>
        <v>0.2</v>
      </c>
      <c r="K121" s="47">
        <f t="shared" si="6"/>
        <v>1.07</v>
      </c>
      <c r="L121" s="47">
        <f t="shared" si="7"/>
        <v>3.47</v>
      </c>
      <c r="M121" s="47">
        <f t="shared" si="8"/>
        <v>0.8</v>
      </c>
      <c r="N121" s="47">
        <f t="shared" si="9"/>
        <v>4.2699999999999996</v>
      </c>
      <c r="O121" s="53"/>
      <c r="P121" s="65"/>
      <c r="Q121" s="66"/>
      <c r="R121" s="6"/>
    </row>
    <row r="122" spans="1:18" x14ac:dyDescent="0.35">
      <c r="A122" s="30">
        <v>119</v>
      </c>
      <c r="B122" s="56" t="s">
        <v>159</v>
      </c>
      <c r="C122" s="58"/>
      <c r="D122" s="50"/>
      <c r="E122" s="52" t="s">
        <v>43</v>
      </c>
      <c r="F122" s="51">
        <v>4</v>
      </c>
      <c r="G122" s="44"/>
      <c r="H122" s="95">
        <v>1</v>
      </c>
      <c r="I122" s="45">
        <v>23</v>
      </c>
      <c r="J122" s="47">
        <f t="shared" si="5"/>
        <v>0.23</v>
      </c>
      <c r="K122" s="47">
        <f t="shared" si="6"/>
        <v>1.23</v>
      </c>
      <c r="L122" s="47">
        <f t="shared" si="7"/>
        <v>4</v>
      </c>
      <c r="M122" s="47">
        <f t="shared" si="8"/>
        <v>0.92</v>
      </c>
      <c r="N122" s="47">
        <f t="shared" si="9"/>
        <v>4.92</v>
      </c>
      <c r="O122" s="53"/>
      <c r="P122" s="65"/>
      <c r="Q122" s="66"/>
      <c r="R122" s="6"/>
    </row>
    <row r="123" spans="1:18" x14ac:dyDescent="0.35">
      <c r="A123" s="30">
        <v>120</v>
      </c>
      <c r="B123" s="56" t="s">
        <v>160</v>
      </c>
      <c r="C123" s="58"/>
      <c r="D123" s="50"/>
      <c r="E123" s="52" t="s">
        <v>43</v>
      </c>
      <c r="F123" s="51">
        <v>4</v>
      </c>
      <c r="G123" s="44"/>
      <c r="H123" s="95">
        <v>1.2</v>
      </c>
      <c r="I123" s="45">
        <v>23</v>
      </c>
      <c r="J123" s="47">
        <f t="shared" si="5"/>
        <v>0.28000000000000003</v>
      </c>
      <c r="K123" s="47">
        <f t="shared" si="6"/>
        <v>1.48</v>
      </c>
      <c r="L123" s="47">
        <f t="shared" si="7"/>
        <v>4.8</v>
      </c>
      <c r="M123" s="47">
        <f t="shared" si="8"/>
        <v>1.1000000000000001</v>
      </c>
      <c r="N123" s="47">
        <f t="shared" si="9"/>
        <v>5.9</v>
      </c>
      <c r="O123" s="53"/>
      <c r="P123" s="65"/>
      <c r="Q123" s="66"/>
      <c r="R123" s="6"/>
    </row>
    <row r="124" spans="1:18" x14ac:dyDescent="0.35">
      <c r="A124" s="30">
        <v>121</v>
      </c>
      <c r="B124" s="56" t="s">
        <v>161</v>
      </c>
      <c r="C124" s="58"/>
      <c r="D124" s="50"/>
      <c r="E124" s="52" t="s">
        <v>43</v>
      </c>
      <c r="F124" s="51">
        <v>4</v>
      </c>
      <c r="G124" s="44"/>
      <c r="H124" s="95">
        <v>2.5299999999999998</v>
      </c>
      <c r="I124" s="45">
        <v>23</v>
      </c>
      <c r="J124" s="47">
        <f t="shared" si="5"/>
        <v>0.57999999999999996</v>
      </c>
      <c r="K124" s="47">
        <f t="shared" si="6"/>
        <v>3.11</v>
      </c>
      <c r="L124" s="47">
        <f t="shared" si="7"/>
        <v>10.119999999999999</v>
      </c>
      <c r="M124" s="47">
        <f t="shared" si="8"/>
        <v>2.33</v>
      </c>
      <c r="N124" s="47">
        <f t="shared" si="9"/>
        <v>12.45</v>
      </c>
      <c r="O124" s="53"/>
      <c r="P124" s="65"/>
      <c r="Q124" s="66"/>
      <c r="R124" s="6"/>
    </row>
    <row r="125" spans="1:18" x14ac:dyDescent="0.35">
      <c r="A125" s="30">
        <v>122</v>
      </c>
      <c r="B125" s="56" t="s">
        <v>162</v>
      </c>
      <c r="C125" s="58"/>
      <c r="D125" s="50"/>
      <c r="E125" s="52" t="s">
        <v>43</v>
      </c>
      <c r="F125" s="51">
        <v>4</v>
      </c>
      <c r="G125" s="44"/>
      <c r="H125" s="95">
        <v>2.85</v>
      </c>
      <c r="I125" s="45">
        <v>23</v>
      </c>
      <c r="J125" s="47">
        <f t="shared" si="5"/>
        <v>0.66</v>
      </c>
      <c r="K125" s="47">
        <f t="shared" si="6"/>
        <v>3.51</v>
      </c>
      <c r="L125" s="47">
        <f t="shared" si="7"/>
        <v>11.4</v>
      </c>
      <c r="M125" s="47">
        <f t="shared" si="8"/>
        <v>2.62</v>
      </c>
      <c r="N125" s="47">
        <f t="shared" si="9"/>
        <v>14.02</v>
      </c>
      <c r="O125" s="53"/>
      <c r="P125" s="65"/>
      <c r="Q125" s="66"/>
      <c r="R125" s="6"/>
    </row>
    <row r="126" spans="1:18" x14ac:dyDescent="0.35">
      <c r="A126" s="30">
        <v>123</v>
      </c>
      <c r="B126" s="56" t="s">
        <v>163</v>
      </c>
      <c r="C126" s="58"/>
      <c r="D126" s="50"/>
      <c r="E126" s="52" t="s">
        <v>43</v>
      </c>
      <c r="F126" s="51">
        <v>4</v>
      </c>
      <c r="G126" s="44"/>
      <c r="H126" s="95">
        <v>0.45900000000000002</v>
      </c>
      <c r="I126" s="45">
        <v>23</v>
      </c>
      <c r="J126" s="47">
        <f t="shared" si="5"/>
        <v>0.11</v>
      </c>
      <c r="K126" s="47">
        <f t="shared" si="6"/>
        <v>0.56999999999999995</v>
      </c>
      <c r="L126" s="47">
        <f t="shared" si="7"/>
        <v>1.84</v>
      </c>
      <c r="M126" s="47">
        <f t="shared" si="8"/>
        <v>0.42</v>
      </c>
      <c r="N126" s="47">
        <f t="shared" si="9"/>
        <v>2.2599999999999998</v>
      </c>
      <c r="O126" s="53"/>
      <c r="P126" s="65"/>
      <c r="Q126" s="66"/>
      <c r="R126" s="6"/>
    </row>
    <row r="127" spans="1:18" x14ac:dyDescent="0.35">
      <c r="A127" s="30">
        <v>124</v>
      </c>
      <c r="B127" s="56" t="s">
        <v>164</v>
      </c>
      <c r="C127" s="58"/>
      <c r="D127" s="50"/>
      <c r="E127" s="52" t="s">
        <v>43</v>
      </c>
      <c r="F127" s="51">
        <v>4</v>
      </c>
      <c r="G127" s="44"/>
      <c r="H127" s="95">
        <v>0.55800000000000005</v>
      </c>
      <c r="I127" s="45">
        <v>23</v>
      </c>
      <c r="J127" s="47">
        <f t="shared" si="5"/>
        <v>0.13</v>
      </c>
      <c r="K127" s="47">
        <f t="shared" si="6"/>
        <v>0.69</v>
      </c>
      <c r="L127" s="47">
        <f t="shared" si="7"/>
        <v>2.23</v>
      </c>
      <c r="M127" s="47">
        <f t="shared" si="8"/>
        <v>0.51</v>
      </c>
      <c r="N127" s="47">
        <f t="shared" si="9"/>
        <v>2.74</v>
      </c>
      <c r="O127" s="53"/>
      <c r="P127" s="65"/>
      <c r="Q127" s="66"/>
      <c r="R127" s="6"/>
    </row>
    <row r="128" spans="1:18" x14ac:dyDescent="0.35">
      <c r="A128" s="30">
        <v>125</v>
      </c>
      <c r="B128" s="56" t="s">
        <v>165</v>
      </c>
      <c r="C128" s="58"/>
      <c r="D128" s="50"/>
      <c r="E128" s="52" t="s">
        <v>43</v>
      </c>
      <c r="F128" s="51">
        <v>4</v>
      </c>
      <c r="G128" s="44"/>
      <c r="H128" s="95">
        <v>0.59399999999999997</v>
      </c>
      <c r="I128" s="45">
        <v>23</v>
      </c>
      <c r="J128" s="47">
        <f t="shared" si="5"/>
        <v>0.14000000000000001</v>
      </c>
      <c r="K128" s="47">
        <f t="shared" si="6"/>
        <v>0.73</v>
      </c>
      <c r="L128" s="47">
        <f t="shared" si="7"/>
        <v>2.38</v>
      </c>
      <c r="M128" s="47">
        <f t="shared" si="8"/>
        <v>0.55000000000000004</v>
      </c>
      <c r="N128" s="47">
        <f t="shared" si="9"/>
        <v>2.93</v>
      </c>
      <c r="O128" s="53"/>
      <c r="P128" s="65"/>
      <c r="Q128" s="66"/>
      <c r="R128" s="6"/>
    </row>
    <row r="129" spans="1:18" x14ac:dyDescent="0.35">
      <c r="A129" s="30">
        <v>126</v>
      </c>
      <c r="B129" s="56" t="s">
        <v>166</v>
      </c>
      <c r="C129" s="58"/>
      <c r="D129" s="50"/>
      <c r="E129" s="52" t="s">
        <v>43</v>
      </c>
      <c r="F129" s="51">
        <v>4</v>
      </c>
      <c r="G129" s="44"/>
      <c r="H129" s="95">
        <v>0.70199999999999996</v>
      </c>
      <c r="I129" s="45">
        <v>23</v>
      </c>
      <c r="J129" s="47">
        <f t="shared" si="5"/>
        <v>0.16</v>
      </c>
      <c r="K129" s="47">
        <f t="shared" si="6"/>
        <v>0.86</v>
      </c>
      <c r="L129" s="47">
        <f t="shared" si="7"/>
        <v>2.81</v>
      </c>
      <c r="M129" s="47">
        <f t="shared" si="8"/>
        <v>0.65</v>
      </c>
      <c r="N129" s="47">
        <f t="shared" si="9"/>
        <v>3.46</v>
      </c>
      <c r="O129" s="53"/>
      <c r="P129" s="65"/>
      <c r="Q129" s="66"/>
      <c r="R129" s="6"/>
    </row>
    <row r="130" spans="1:18" x14ac:dyDescent="0.35">
      <c r="A130" s="30">
        <v>127</v>
      </c>
      <c r="B130" s="56" t="s">
        <v>167</v>
      </c>
      <c r="C130" s="58"/>
      <c r="D130" s="50"/>
      <c r="E130" s="52" t="s">
        <v>43</v>
      </c>
      <c r="F130" s="51">
        <v>4</v>
      </c>
      <c r="G130" s="44"/>
      <c r="H130" s="95">
        <v>0.8</v>
      </c>
      <c r="I130" s="45">
        <v>23</v>
      </c>
      <c r="J130" s="47">
        <f t="shared" si="5"/>
        <v>0.18</v>
      </c>
      <c r="K130" s="47">
        <f t="shared" si="6"/>
        <v>0.98</v>
      </c>
      <c r="L130" s="47">
        <f t="shared" si="7"/>
        <v>3.2</v>
      </c>
      <c r="M130" s="47">
        <f t="shared" si="8"/>
        <v>0.74</v>
      </c>
      <c r="N130" s="47">
        <f t="shared" si="9"/>
        <v>3.94</v>
      </c>
      <c r="O130" s="53"/>
      <c r="P130" s="65"/>
      <c r="Q130" s="66"/>
      <c r="R130" s="6"/>
    </row>
    <row r="131" spans="1:18" x14ac:dyDescent="0.35">
      <c r="A131" s="30">
        <v>128</v>
      </c>
      <c r="B131" s="56" t="s">
        <v>168</v>
      </c>
      <c r="C131" s="58"/>
      <c r="D131" s="50"/>
      <c r="E131" s="52" t="s">
        <v>43</v>
      </c>
      <c r="F131" s="51">
        <v>4</v>
      </c>
      <c r="G131" s="44"/>
      <c r="H131" s="95">
        <v>1.5660000000000001</v>
      </c>
      <c r="I131" s="45">
        <v>23</v>
      </c>
      <c r="J131" s="47">
        <f t="shared" si="5"/>
        <v>0.36</v>
      </c>
      <c r="K131" s="47">
        <f t="shared" si="6"/>
        <v>1.93</v>
      </c>
      <c r="L131" s="47">
        <f t="shared" si="7"/>
        <v>6.26</v>
      </c>
      <c r="M131" s="47">
        <f t="shared" si="8"/>
        <v>1.44</v>
      </c>
      <c r="N131" s="47">
        <f t="shared" si="9"/>
        <v>7.7</v>
      </c>
      <c r="O131" s="53"/>
      <c r="P131" s="65"/>
      <c r="Q131" s="66"/>
      <c r="R131" s="6"/>
    </row>
    <row r="132" spans="1:18" x14ac:dyDescent="0.35">
      <c r="A132" s="30">
        <v>129</v>
      </c>
      <c r="B132" s="56" t="s">
        <v>169</v>
      </c>
      <c r="C132" s="58"/>
      <c r="D132" s="50"/>
      <c r="E132" s="52" t="s">
        <v>43</v>
      </c>
      <c r="F132" s="51">
        <v>4</v>
      </c>
      <c r="G132" s="44"/>
      <c r="H132" s="95">
        <v>2.14</v>
      </c>
      <c r="I132" s="45">
        <v>23</v>
      </c>
      <c r="J132" s="47">
        <f t="shared" si="5"/>
        <v>0.49</v>
      </c>
      <c r="K132" s="47">
        <f>H132+J132</f>
        <v>2.63</v>
      </c>
      <c r="L132" s="47">
        <f>F132*H132</f>
        <v>8.56</v>
      </c>
      <c r="M132" s="47">
        <f>L132/100*I132</f>
        <v>1.97</v>
      </c>
      <c r="N132" s="47">
        <f>L132+M132</f>
        <v>10.53</v>
      </c>
      <c r="O132" s="53"/>
      <c r="P132" s="65"/>
      <c r="Q132" s="66"/>
      <c r="R132" s="6"/>
    </row>
    <row r="133" spans="1:18" ht="15" thickBot="1" x14ac:dyDescent="0.4">
      <c r="A133" s="30"/>
      <c r="B133" s="63"/>
      <c r="C133" s="58"/>
      <c r="D133" s="50"/>
      <c r="E133" s="52"/>
      <c r="F133" s="51"/>
      <c r="G133" s="44"/>
      <c r="H133" s="45"/>
      <c r="I133" s="45"/>
      <c r="J133" s="47"/>
      <c r="K133" s="47"/>
      <c r="L133" s="47"/>
      <c r="M133" s="47"/>
      <c r="N133" s="47"/>
      <c r="O133" s="53"/>
      <c r="P133" s="65"/>
      <c r="Q133" s="66"/>
      <c r="R133" s="6"/>
    </row>
    <row r="134" spans="1:18" ht="42" customHeight="1" thickBot="1" x14ac:dyDescent="0.4">
      <c r="A134" s="6"/>
      <c r="B134" s="9"/>
      <c r="C134" s="9"/>
      <c r="D134" s="9"/>
      <c r="E134" s="10"/>
      <c r="F134" s="10" t="s">
        <v>45</v>
      </c>
      <c r="G134" s="6"/>
      <c r="H134" s="11"/>
      <c r="I134" s="11"/>
      <c r="J134" s="11"/>
      <c r="K134" s="11"/>
      <c r="L134" s="47">
        <f>SUM(L13:L132)</f>
        <v>2392.21</v>
      </c>
      <c r="M134" s="47">
        <f>SUM(M13:M132)</f>
        <v>550.19000000000005</v>
      </c>
      <c r="N134" s="48">
        <f>SUM(N13:N132)</f>
        <v>2942.4</v>
      </c>
      <c r="O134" s="13"/>
      <c r="P134" s="38" t="s">
        <v>37</v>
      </c>
      <c r="Q134" s="6"/>
      <c r="R134" s="6"/>
    </row>
    <row r="135" spans="1:18" ht="23.25" customHeight="1" x14ac:dyDescent="0.35">
      <c r="A135" s="6"/>
      <c r="B135" s="9"/>
      <c r="C135" s="9"/>
      <c r="D135" s="9"/>
      <c r="E135" s="10"/>
      <c r="F135" s="10"/>
      <c r="G135" s="6"/>
      <c r="H135" s="11"/>
      <c r="I135" s="11"/>
      <c r="J135" s="11"/>
      <c r="K135" s="11"/>
      <c r="L135" s="55"/>
      <c r="M135" s="55"/>
      <c r="N135" s="53"/>
      <c r="O135" s="53"/>
      <c r="P135" s="54"/>
      <c r="Q135" s="6"/>
      <c r="R135" s="6"/>
    </row>
    <row r="136" spans="1:18" ht="164.25" customHeight="1" x14ac:dyDescent="0.35">
      <c r="A136" s="49" t="s">
        <v>38</v>
      </c>
      <c r="B136" s="49"/>
      <c r="C136" s="49"/>
      <c r="D136" s="49"/>
      <c r="E136" s="10"/>
      <c r="F136" s="10"/>
      <c r="G136" s="6"/>
      <c r="H136" s="93" t="s">
        <v>34</v>
      </c>
      <c r="I136" s="94"/>
      <c r="J136" s="94"/>
      <c r="K136" s="94"/>
      <c r="L136" s="94"/>
      <c r="M136" s="94"/>
      <c r="N136" s="14" t="s">
        <v>25</v>
      </c>
      <c r="O136" s="14"/>
      <c r="P136" s="86" t="s">
        <v>35</v>
      </c>
      <c r="Q136" s="87"/>
      <c r="R136" s="6"/>
    </row>
    <row r="137" spans="1:18" x14ac:dyDescent="0.35">
      <c r="A137" s="6"/>
      <c r="B137" s="9"/>
      <c r="C137" s="9"/>
      <c r="D137" s="9"/>
      <c r="E137" s="10"/>
      <c r="F137" s="10"/>
      <c r="G137" s="6"/>
      <c r="H137" s="12"/>
      <c r="I137" s="10"/>
      <c r="J137" s="12"/>
      <c r="K137" s="12"/>
      <c r="L137" s="12"/>
      <c r="M137" s="12"/>
      <c r="N137" s="12"/>
    </row>
  </sheetData>
  <mergeCells count="140">
    <mergeCell ref="P10:Q10"/>
    <mergeCell ref="P136:Q136"/>
    <mergeCell ref="P11:Q11"/>
    <mergeCell ref="P13:Q13"/>
    <mergeCell ref="H10:K10"/>
    <mergeCell ref="L10:N10"/>
    <mergeCell ref="H136:M136"/>
    <mergeCell ref="P14:Q14"/>
    <mergeCell ref="P15:Q15"/>
    <mergeCell ref="P16:Q16"/>
    <mergeCell ref="P17:Q17"/>
    <mergeCell ref="P18:Q18"/>
    <mergeCell ref="P19:Q19"/>
    <mergeCell ref="P20:Q20"/>
    <mergeCell ref="P21:Q21"/>
    <mergeCell ref="P30:Q30"/>
    <mergeCell ref="P27:Q27"/>
    <mergeCell ref="P28:Q28"/>
    <mergeCell ref="P29:Q29"/>
    <mergeCell ref="P22:Q22"/>
    <mergeCell ref="P23:Q23"/>
    <mergeCell ref="P24:Q24"/>
    <mergeCell ref="P25:Q25"/>
    <mergeCell ref="P26:Q26"/>
    <mergeCell ref="A10:F10"/>
    <mergeCell ref="A1:B1"/>
    <mergeCell ref="C1:N1"/>
    <mergeCell ref="A2:B2"/>
    <mergeCell ref="C2:N2"/>
    <mergeCell ref="A3:B3"/>
    <mergeCell ref="C3:N3"/>
    <mergeCell ref="A4:N4"/>
    <mergeCell ref="H5:N6"/>
    <mergeCell ref="A8:F8"/>
    <mergeCell ref="H8:N8"/>
    <mergeCell ref="A5:G5"/>
    <mergeCell ref="A6:G6"/>
    <mergeCell ref="P36:Q36"/>
    <mergeCell ref="P37:Q37"/>
    <mergeCell ref="P38:Q38"/>
    <mergeCell ref="P39:Q39"/>
    <mergeCell ref="P40:Q40"/>
    <mergeCell ref="P31:Q31"/>
    <mergeCell ref="P32:Q32"/>
    <mergeCell ref="P33:Q33"/>
    <mergeCell ref="P34:Q34"/>
    <mergeCell ref="P35:Q35"/>
    <mergeCell ref="P46:Q46"/>
    <mergeCell ref="P47:Q47"/>
    <mergeCell ref="P48:Q48"/>
    <mergeCell ref="P49:Q49"/>
    <mergeCell ref="P50:Q50"/>
    <mergeCell ref="P41:Q41"/>
    <mergeCell ref="P42:Q42"/>
    <mergeCell ref="P43:Q43"/>
    <mergeCell ref="P44:Q44"/>
    <mergeCell ref="P45:Q45"/>
    <mergeCell ref="P56:Q56"/>
    <mergeCell ref="P57:Q57"/>
    <mergeCell ref="P58:Q58"/>
    <mergeCell ref="P59:Q59"/>
    <mergeCell ref="P60:Q60"/>
    <mergeCell ref="P51:Q51"/>
    <mergeCell ref="P52:Q52"/>
    <mergeCell ref="P53:Q53"/>
    <mergeCell ref="P54:Q54"/>
    <mergeCell ref="P55:Q55"/>
    <mergeCell ref="P66:Q66"/>
    <mergeCell ref="P67:Q67"/>
    <mergeCell ref="P68:Q68"/>
    <mergeCell ref="P69:Q69"/>
    <mergeCell ref="P70:Q70"/>
    <mergeCell ref="P61:Q61"/>
    <mergeCell ref="P62:Q62"/>
    <mergeCell ref="P63:Q63"/>
    <mergeCell ref="P64:Q64"/>
    <mergeCell ref="P65:Q65"/>
    <mergeCell ref="P76:Q76"/>
    <mergeCell ref="P77:Q77"/>
    <mergeCell ref="P78:Q78"/>
    <mergeCell ref="P79:Q79"/>
    <mergeCell ref="P80:Q80"/>
    <mergeCell ref="P71:Q71"/>
    <mergeCell ref="P72:Q72"/>
    <mergeCell ref="P73:Q73"/>
    <mergeCell ref="P74:Q74"/>
    <mergeCell ref="P75:Q75"/>
    <mergeCell ref="P86:Q86"/>
    <mergeCell ref="P87:Q87"/>
    <mergeCell ref="P88:Q88"/>
    <mergeCell ref="P89:Q89"/>
    <mergeCell ref="P90:Q90"/>
    <mergeCell ref="P81:Q81"/>
    <mergeCell ref="P82:Q82"/>
    <mergeCell ref="P83:Q83"/>
    <mergeCell ref="P84:Q84"/>
    <mergeCell ref="P85:Q85"/>
    <mergeCell ref="P96:Q96"/>
    <mergeCell ref="P97:Q97"/>
    <mergeCell ref="P98:Q98"/>
    <mergeCell ref="P99:Q99"/>
    <mergeCell ref="P100:Q100"/>
    <mergeCell ref="P91:Q91"/>
    <mergeCell ref="P92:Q92"/>
    <mergeCell ref="P93:Q93"/>
    <mergeCell ref="P94:Q94"/>
    <mergeCell ref="P95:Q95"/>
    <mergeCell ref="P106:Q106"/>
    <mergeCell ref="P107:Q107"/>
    <mergeCell ref="P108:Q108"/>
    <mergeCell ref="P109:Q109"/>
    <mergeCell ref="P110:Q110"/>
    <mergeCell ref="P101:Q101"/>
    <mergeCell ref="P102:Q102"/>
    <mergeCell ref="P103:Q103"/>
    <mergeCell ref="P104:Q104"/>
    <mergeCell ref="P105:Q105"/>
    <mergeCell ref="P116:Q116"/>
    <mergeCell ref="P117:Q117"/>
    <mergeCell ref="P118:Q118"/>
    <mergeCell ref="P119:Q119"/>
    <mergeCell ref="P120:Q120"/>
    <mergeCell ref="P111:Q111"/>
    <mergeCell ref="P112:Q112"/>
    <mergeCell ref="P113:Q113"/>
    <mergeCell ref="P114:Q114"/>
    <mergeCell ref="P115:Q115"/>
    <mergeCell ref="P131:Q131"/>
    <mergeCell ref="P132:Q132"/>
    <mergeCell ref="P133:Q133"/>
    <mergeCell ref="P126:Q126"/>
    <mergeCell ref="P127:Q127"/>
    <mergeCell ref="P128:Q128"/>
    <mergeCell ref="P129:Q129"/>
    <mergeCell ref="P130:Q130"/>
    <mergeCell ref="P121:Q121"/>
    <mergeCell ref="P122:Q122"/>
    <mergeCell ref="P123:Q123"/>
    <mergeCell ref="P124:Q124"/>
    <mergeCell ref="P125:Q125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54" fitToHeight="0" orientation="landscape" r:id="rId1"/>
  <headerFooter>
    <oddFooter>Strana &amp;P</oddFooter>
  </headerFooter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2</vt:i4>
      </vt:variant>
    </vt:vector>
  </HeadingPairs>
  <TitlesOfParts>
    <vt:vector size="3" baseType="lpstr">
      <vt:lpstr>hárok</vt:lpstr>
      <vt:lpstr>hárok!Názvy_tlače</vt:lpstr>
      <vt:lpstr>hárok!Oblasť_tlače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lucia.dlugosova</dc:creator>
  <cp:lastModifiedBy>Erik Záhorák</cp:lastModifiedBy>
  <cp:lastPrinted>2026-05-22T10:56:37Z</cp:lastPrinted>
  <dcterms:created xsi:type="dcterms:W3CDTF">2019-10-01T12:51:04Z</dcterms:created>
  <dcterms:modified xsi:type="dcterms:W3CDTF">2026-05-22T11:01:45Z</dcterms:modified>
</cp:coreProperties>
</file>